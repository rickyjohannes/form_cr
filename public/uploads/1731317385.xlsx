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tdharmapolimetaldb-my.sharepoint.com/personal/it_outsource_dp_dharmap_com/Documents/FILE RICKY/PROJECT TESTING KANBAN/"/>
    </mc:Choice>
  </mc:AlternateContent>
  <xr:revisionPtr revIDLastSave="31" documentId="14_{0CDCAACB-A2FE-45A6-9808-477BACF71D07}" xr6:coauthVersionLast="47" xr6:coauthVersionMax="47" xr10:uidLastSave="{A362FA4A-9626-4D9D-8BEF-0B2AD37C0F27}"/>
  <bookViews>
    <workbookView xWindow="-120" yWindow="-120" windowWidth="29040" windowHeight="15720" firstSheet="1" xr2:uid="{EB18DFF0-6D50-4958-86B1-DCD5F6626961}"/>
  </bookViews>
  <sheets>
    <sheet name="RUMUS" sheetId="1" r:id="rId1"/>
    <sheet name="SAMPLE" sheetId="3" r:id="rId2"/>
    <sheet name="PENJELASAN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2" i="3" l="1"/>
  <c r="U127" i="3"/>
  <c r="U129" i="3" s="1"/>
  <c r="E105" i="3"/>
  <c r="E104" i="3"/>
  <c r="E113" i="3" s="1"/>
  <c r="N96" i="3" s="1"/>
  <c r="E62" i="3"/>
  <c r="E61" i="3"/>
  <c r="E86" i="3" s="1"/>
  <c r="E19" i="3"/>
  <c r="E18" i="3"/>
  <c r="E27" i="3" s="1"/>
  <c r="N10" i="3" s="1"/>
  <c r="N97" i="3" l="1"/>
  <c r="E120" i="3" s="1"/>
  <c r="J97" i="3"/>
  <c r="E121" i="3"/>
  <c r="E35" i="3"/>
  <c r="N11" i="3"/>
  <c r="E34" i="3" s="1"/>
  <c r="J11" i="3"/>
  <c r="E26" i="3"/>
  <c r="E43" i="3"/>
  <c r="I104" i="3"/>
  <c r="E131" i="3" s="1"/>
  <c r="I26" i="3"/>
  <c r="G45" i="3" s="1"/>
  <c r="E112" i="3"/>
  <c r="E129" i="3"/>
  <c r="I112" i="3"/>
  <c r="G131" i="3" s="1"/>
  <c r="I18" i="3"/>
  <c r="E45" i="3" s="1"/>
  <c r="N53" i="3"/>
  <c r="E69" i="3" s="1"/>
  <c r="E70" i="3"/>
  <c r="I61" i="3"/>
  <c r="E88" i="3" s="1"/>
  <c r="I34" i="3" l="1"/>
  <c r="I45" i="3" s="1"/>
  <c r="I120" i="3"/>
  <c r="I131" i="3" s="1"/>
  <c r="I128" i="3"/>
  <c r="K131" i="3" s="1"/>
  <c r="E128" i="3"/>
  <c r="E78" i="3"/>
  <c r="N54" i="3"/>
  <c r="E77" i="3" s="1"/>
  <c r="J54" i="3"/>
  <c r="I42" i="3"/>
  <c r="K45" i="3" s="1"/>
  <c r="E47" i="3" s="1"/>
  <c r="E42" i="3"/>
  <c r="I69" i="3"/>
  <c r="G88" i="3" s="1"/>
  <c r="E133" i="3" l="1"/>
  <c r="I77" i="3"/>
  <c r="I88" i="3" s="1"/>
  <c r="I85" i="3"/>
  <c r="K88" i="3" s="1"/>
  <c r="E85" i="3"/>
  <c r="E90" i="3" l="1"/>
</calcChain>
</file>

<file path=xl/sharedStrings.xml><?xml version="1.0" encoding="utf-8"?>
<sst xmlns="http://schemas.openxmlformats.org/spreadsheetml/2006/main" count="93" uniqueCount="44">
  <si>
    <t>Avaibility</t>
  </si>
  <si>
    <t>Performance</t>
  </si>
  <si>
    <t>Quality</t>
  </si>
  <si>
    <t>Utilization</t>
  </si>
  <si>
    <t>Sample OEE</t>
  </si>
  <si>
    <t>WH Eff :</t>
  </si>
  <si>
    <t>mnt/shift</t>
  </si>
  <si>
    <t>1.</t>
  </si>
  <si>
    <t>55305-BZD40</t>
  </si>
  <si>
    <t>Ideal CT :</t>
  </si>
  <si>
    <t>dtk</t>
  </si>
  <si>
    <t>Dandory :</t>
  </si>
  <si>
    <t>Act Output qty/shift :</t>
  </si>
  <si>
    <t>Plan prod :</t>
  </si>
  <si>
    <t>pcs/day</t>
  </si>
  <si>
    <t>QC reject :</t>
  </si>
  <si>
    <t>Availbility =</t>
  </si>
  <si>
    <t>=</t>
  </si>
  <si>
    <t>Performace =</t>
  </si>
  <si>
    <t>Quality =</t>
  </si>
  <si>
    <t>Utilization =</t>
  </si>
  <si>
    <t>OEE  =</t>
  </si>
  <si>
    <t>x</t>
  </si>
  <si>
    <t>2.</t>
  </si>
  <si>
    <t>53028-BZ340</t>
  </si>
  <si>
    <t>57409-BZ380</t>
  </si>
  <si>
    <t>Planned Production Time</t>
  </si>
  <si>
    <t>: Planning Working Time</t>
  </si>
  <si>
    <t>Actual Runtime</t>
  </si>
  <si>
    <t>: Didapat dari PLC (Kondisi Mesin Hidup)</t>
  </si>
  <si>
    <t>Unplanned Downtime</t>
  </si>
  <si>
    <t>: Didapat dari PLC (Kondisi Mesin Mati)</t>
  </si>
  <si>
    <t>Operating Time</t>
  </si>
  <si>
    <t>: Didapat dari perhitungan (Available Time -  Downtime)</t>
  </si>
  <si>
    <t>Actual CT</t>
  </si>
  <si>
    <t>: Output QTY dari PLC x Cycle Time pada master data Item</t>
  </si>
  <si>
    <t>Actual QTY</t>
  </si>
  <si>
    <t>: Didapat dari PLC</t>
  </si>
  <si>
    <t>Reject QTY</t>
  </si>
  <si>
    <t>: Didapat dari QTY Reject KIOS</t>
  </si>
  <si>
    <t>Planning Production</t>
  </si>
  <si>
    <t>: Planning Produksi yang didapat dari SAP</t>
  </si>
  <si>
    <t>Capacity Production</t>
  </si>
  <si>
    <t>: Operating Time / Ideal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</si>
</sst>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scheme val="minor"/>
    </font>
    <font>
      <sz val="12"/>
      <color rgb="FF000000"/>
      <name val="Cambiri"/>
    </font>
    <font>
      <sz val="12"/>
      <color theme="1"/>
      <name val="Cambi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Segoe UI Emoji"/>
      <family val="2"/>
    </font>
    <font>
      <b/>
      <sz val="12"/>
      <color rgb="FF383838"/>
      <name val="Segoe UI Emoj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5" fillId="0" borderId="0" xfId="0" applyFont="1"/>
    <xf numFmtId="1" fontId="0" fillId="0" borderId="0" xfId="0" applyNumberFormat="1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9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center"/>
    </xf>
    <xf numFmtId="1" fontId="0" fillId="0" borderId="1" xfId="0" applyNumberFormat="1" applyBorder="1" applyAlignment="1">
      <alignment horizontal="center"/>
    </xf>
    <xf numFmtId="164" fontId="0" fillId="0" borderId="0" xfId="0" quotePrefix="1" applyNumberFormat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</cellXfs>
  <cellStyles count="2">
    <cellStyle name="Normal" xfId="0" builtinId="0"/>
    <cellStyle name="Percent 2" xfId="1" xr:uid="{B51BAB5E-30D1-4BB4-B178-41E9A2F5CC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124329</xdr:colOff>
      <xdr:row>1</xdr:row>
      <xdr:rowOff>115619</xdr:rowOff>
    </xdr:from>
    <xdr:ext cx="2128542" cy="3067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F0AD3FE-ABB8-E13A-5EEB-126127468E55}"/>
                </a:ext>
              </a:extLst>
            </xdr:cNvPr>
            <xdr:cNvSpPr txBox="1"/>
          </xdr:nvSpPr>
          <xdr:spPr>
            <a:xfrm>
              <a:off x="124329" y="355815"/>
              <a:ext cx="2128542" cy="306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indent="0"/>
              <a:r>
                <a:rPr lang="ar-AE" sz="1100" b="1" i="1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𝑨𝒗𝒊𝒃𝒊𝒍𝒊𝒕𝒚</a:t>
              </a:r>
              <a:r>
                <a:rPr lang="ar-AE" sz="1100" i="1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=﷐</a:t>
              </a:r>
              <a:r>
                <a:rPr lang="ar-AE" sz="1100" b="0" i="1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𝑂𝑝𝑒𝑟𝑎𝑡𝑖𝑛𝑔 𝑇𝑖𝑚𝑒﷮𝐴𝑣𝑎𝑖𝑙𝑎𝑏𝑙𝑒 𝑇𝑖𝑚𝑒﷯</a:t>
              </a:r>
              <a:r>
                <a:rPr lang="ar-AE" sz="110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</a:rPr>
                <a:t> </a:t>
              </a:r>
              <a:r>
                <a:rPr lang="en-US" sz="110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</a:rPr>
                <a:t>x 100%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F0AD3FE-ABB8-E13A-5EEB-126127468E55}"/>
                </a:ext>
              </a:extLst>
            </xdr:cNvPr>
            <xdr:cNvSpPr txBox="1"/>
          </xdr:nvSpPr>
          <xdr:spPr>
            <a:xfrm>
              <a:off x="124329" y="355815"/>
              <a:ext cx="2128542" cy="306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1" i="0">
                  <a:latin typeface="Cambria Math" panose="02040503050406030204" pitchFamily="18" charset="0"/>
                </a:rPr>
                <a:t>𝑨𝒗𝒊𝒃𝒊𝒍𝒊𝒕𝒚</a:t>
              </a:r>
              <a:r>
                <a:rPr lang="en-US" sz="1100" i="0">
                  <a:latin typeface="Cambria Math" panose="02040503050406030204" pitchFamily="18" charset="0"/>
                </a:rPr>
                <a:t>=(</a:t>
              </a:r>
              <a:r>
                <a:rPr lang="en-US" sz="1100" b="0" i="0">
                  <a:latin typeface="Cambria Math" panose="02040503050406030204" pitchFamily="18" charset="0"/>
                </a:rPr>
                <a:t>𝑂𝑝𝑒𝑟𝑎𝑡𝑖𝑛𝑔 𝑇𝑖𝑚𝑒)/(𝐴𝑣𝑎𝑖𝑙𝑎𝑏𝑙𝑒 𝑇𝑖𝑚𝑒)</a:t>
              </a:r>
              <a:r>
                <a:rPr lang="en-US" sz="1100">
                  <a:latin typeface="Cambria" panose="02040503050406030204" pitchFamily="18" charset="0"/>
                  <a:ea typeface="Cambria" panose="02040503050406030204" pitchFamily="18" charset="0"/>
                </a:rPr>
                <a:t> x 100%</a:t>
              </a:r>
            </a:p>
          </xdr:txBody>
        </xdr:sp>
      </mc:Fallback>
    </mc:AlternateContent>
    <xdr:clientData/>
  </xdr:oneCellAnchor>
  <xdr:oneCellAnchor>
    <xdr:from>
      <xdr:col>0</xdr:col>
      <xdr:colOff>111386</xdr:colOff>
      <xdr:row>3</xdr:row>
      <xdr:rowOff>153368</xdr:rowOff>
    </xdr:from>
    <xdr:ext cx="3140252" cy="2210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D037DC1-9FB1-448E-9155-214BBAAE9667}"/>
                </a:ext>
              </a:extLst>
            </xdr:cNvPr>
            <xdr:cNvSpPr txBox="1"/>
          </xdr:nvSpPr>
          <xdr:spPr>
            <a:xfrm>
              <a:off x="111386" y="639471"/>
              <a:ext cx="3140252" cy="2210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sz="1100" b="1" i="1">
                      <a:latin typeface="Cambria Math" panose="02040503050406030204" pitchFamily="18" charset="0"/>
                    </a:rPr>
                    <m:t>𝑶𝒑𝒆𝒓𝒂𝒕𝒊𝒏𝒈</m:t>
                  </m:r>
                  <m:r>
                    <a:rPr lang="en-US" sz="1100" b="1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1" i="1">
                      <a:latin typeface="Cambria Math" panose="02040503050406030204" pitchFamily="18" charset="0"/>
                    </a:rPr>
                    <m:t>𝑻𝒊𝒎𝒆</m:t>
                  </m:r>
                  <m:r>
                    <a:rPr lang="en-US" sz="1100" i="1">
                      <a:latin typeface="Cambria Math" panose="02040503050406030204" pitchFamily="18" charset="0"/>
                    </a:rPr>
                    <m:t>=</m:t>
                  </m:r>
                  <m:r>
                    <a:rPr lang="en-US" sz="1100" i="1">
                      <a:latin typeface="Cambria Math" panose="02040503050406030204" pitchFamily="18" charset="0"/>
                    </a:rPr>
                    <m:t>𝐴𝑣𝑎𝑖𝑙𝑎𝑏𝑙𝑒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𝑇𝑖𝑚𝑒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100">
                  <a:latin typeface="Cambria" panose="02040503050406030204" pitchFamily="18" charset="0"/>
                  <a:ea typeface="Cambria" panose="02040503050406030204" pitchFamily="18" charset="0"/>
                </a:rPr>
                <a:t> -  DownTime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D037DC1-9FB1-448E-9155-214BBAAE9667}"/>
                </a:ext>
              </a:extLst>
            </xdr:cNvPr>
            <xdr:cNvSpPr txBox="1"/>
          </xdr:nvSpPr>
          <xdr:spPr>
            <a:xfrm>
              <a:off x="111386" y="639471"/>
              <a:ext cx="3140252" cy="2210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1" i="0">
                  <a:latin typeface="Cambria Math" panose="02040503050406030204" pitchFamily="18" charset="0"/>
                </a:rPr>
                <a:t>𝑶𝒑𝒆𝒓𝒂𝒕𝒊𝒏𝒈 𝑻𝒊𝒎𝒆</a:t>
              </a:r>
              <a:r>
                <a:rPr lang="en-US" sz="1100" i="0">
                  <a:latin typeface="Cambria Math" panose="02040503050406030204" pitchFamily="18" charset="0"/>
                </a:rPr>
                <a:t>=𝐴</a:t>
              </a:r>
              <a:r>
                <a:rPr lang="en-US" sz="1100" b="0" i="0">
                  <a:latin typeface="Cambria Math" panose="02040503050406030204" pitchFamily="18" charset="0"/>
                </a:rPr>
                <a:t>𝑣𝑎𝑖𝑙𝑎𝑏𝑙𝑒 𝑇𝑖𝑚𝑒 </a:t>
              </a:r>
              <a:r>
                <a:rPr lang="en-US" sz="1100">
                  <a:latin typeface="Cambria" panose="02040503050406030204" pitchFamily="18" charset="0"/>
                  <a:ea typeface="Cambria" panose="02040503050406030204" pitchFamily="18" charset="0"/>
                </a:rPr>
                <a:t> -  DownTime</a:t>
              </a:r>
            </a:p>
          </xdr:txBody>
        </xdr:sp>
      </mc:Fallback>
    </mc:AlternateContent>
    <xdr:clientData/>
  </xdr:oneCellAnchor>
  <xdr:oneCellAnchor>
    <xdr:from>
      <xdr:col>0</xdr:col>
      <xdr:colOff>127666</xdr:colOff>
      <xdr:row>5</xdr:row>
      <xdr:rowOff>46454</xdr:rowOff>
    </xdr:from>
    <xdr:ext cx="3379304" cy="2228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4CB48CA-D880-4354-93C9-096D07D9AB9B}"/>
                </a:ext>
              </a:extLst>
            </xdr:cNvPr>
            <xdr:cNvSpPr txBox="1"/>
          </xdr:nvSpPr>
          <xdr:spPr>
            <a:xfrm>
              <a:off x="127666" y="913557"/>
              <a:ext cx="3379304" cy="2228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1" i="1">
                  <a:latin typeface="Cambria" panose="02040503050406030204" pitchFamily="18" charset="0"/>
                  <a:ea typeface="Cambria" panose="02040503050406030204" pitchFamily="18" charset="0"/>
                </a:rPr>
                <a:t>Available</a:t>
              </a:r>
              <a:r>
                <a:rPr lang="en-US" sz="1100" b="1" i="1" baseline="0">
                  <a:latin typeface="Cambria" panose="02040503050406030204" pitchFamily="18" charset="0"/>
                  <a:ea typeface="Cambria" panose="02040503050406030204" pitchFamily="18" charset="0"/>
                </a:rPr>
                <a:t> Time </a:t>
              </a:r>
              <a14:m>
                <m:oMath xmlns:m="http://schemas.openxmlformats.org/officeDocument/2006/math">
                  <m:r>
                    <a:rPr lang="en-US" sz="1100" i="1">
                      <a:latin typeface="Cambria Math" panose="02040503050406030204" pitchFamily="18" charset="0"/>
                    </a:rPr>
                    <m:t>=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455 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𝑀𝑖𝑛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/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𝑆h𝑖𝑓𝑡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100">
                  <a:latin typeface="Cambria" panose="02040503050406030204" pitchFamily="18" charset="0"/>
                  <a:ea typeface="Cambria" panose="02040503050406030204" pitchFamily="18" charset="0"/>
                </a:rPr>
                <a:t> (Working Hour</a:t>
              </a:r>
              <a:r>
                <a:rPr lang="en-US" sz="1100" baseline="0">
                  <a:latin typeface="Cambria" panose="02040503050406030204" pitchFamily="18" charset="0"/>
                  <a:ea typeface="Cambria" panose="02040503050406030204" pitchFamily="18" charset="0"/>
                </a:rPr>
                <a:t> Eff)</a:t>
              </a:r>
            </a:p>
            <a:p>
              <a:endParaRPr lang="en-US" sz="1100">
                <a:latin typeface="Cambria" panose="02040503050406030204" pitchFamily="18" charset="0"/>
                <a:ea typeface="Cambria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4CB48CA-D880-4354-93C9-096D07D9AB9B}"/>
                </a:ext>
              </a:extLst>
            </xdr:cNvPr>
            <xdr:cNvSpPr txBox="1"/>
          </xdr:nvSpPr>
          <xdr:spPr>
            <a:xfrm>
              <a:off x="127666" y="913557"/>
              <a:ext cx="3379304" cy="2228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1" i="1">
                  <a:latin typeface="Cambria" panose="02040503050406030204" pitchFamily="18" charset="0"/>
                  <a:ea typeface="Cambria" panose="02040503050406030204" pitchFamily="18" charset="0"/>
                </a:rPr>
                <a:t>Available</a:t>
              </a:r>
              <a:r>
                <a:rPr lang="en-US" sz="1100" b="1" i="1" baseline="0">
                  <a:latin typeface="Cambria" panose="02040503050406030204" pitchFamily="18" charset="0"/>
                  <a:ea typeface="Cambria" panose="02040503050406030204" pitchFamily="18" charset="0"/>
                </a:rPr>
                <a:t> Time </a:t>
              </a:r>
              <a:r>
                <a:rPr lang="en-US" sz="1100" i="0">
                  <a:latin typeface="Cambria Math" panose="02040503050406030204" pitchFamily="18" charset="0"/>
                </a:rPr>
                <a:t>=</a:t>
              </a:r>
              <a:r>
                <a:rPr lang="en-US" sz="1100" b="0" i="0">
                  <a:latin typeface="Cambria Math" panose="02040503050406030204" pitchFamily="18" charset="0"/>
                </a:rPr>
                <a:t>455 𝑀𝑖𝑛 /𝑆ℎ𝑖𝑓𝑡 </a:t>
              </a:r>
              <a:r>
                <a:rPr lang="en-US" sz="1100">
                  <a:latin typeface="Cambria" panose="02040503050406030204" pitchFamily="18" charset="0"/>
                  <a:ea typeface="Cambria" panose="02040503050406030204" pitchFamily="18" charset="0"/>
                </a:rPr>
                <a:t> (Working Hour</a:t>
              </a:r>
              <a:r>
                <a:rPr lang="en-US" sz="1100" baseline="0">
                  <a:latin typeface="Cambria" panose="02040503050406030204" pitchFamily="18" charset="0"/>
                  <a:ea typeface="Cambria" panose="02040503050406030204" pitchFamily="18" charset="0"/>
                </a:rPr>
                <a:t> Eff)</a:t>
              </a:r>
            </a:p>
            <a:p>
              <a:endParaRPr lang="en-US" sz="1100">
                <a:latin typeface="Cambria" panose="02040503050406030204" pitchFamily="18" charset="0"/>
                <a:ea typeface="Cambria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136921</xdr:colOff>
      <xdr:row>8</xdr:row>
      <xdr:rowOff>41672</xdr:rowOff>
    </xdr:from>
    <xdr:ext cx="3381376" cy="2976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0373602-A089-493E-B8E1-733D9D83BBB0}"/>
                </a:ext>
              </a:extLst>
            </xdr:cNvPr>
            <xdr:cNvSpPr txBox="1"/>
          </xdr:nvSpPr>
          <xdr:spPr>
            <a:xfrm>
              <a:off x="136921" y="1946672"/>
              <a:ext cx="3381376" cy="2976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sz="1100" b="1" i="1">
                      <a:latin typeface="Cambria Math" panose="02040503050406030204" pitchFamily="18" charset="0"/>
                    </a:rPr>
                    <m:t>𝑷𝒆𝒓𝒇𝒐𝒓𝒎𝒂𝒏𝒄𝒆</m:t>
                  </m:r>
                  <m:r>
                    <a:rPr lang="en-US" sz="110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𝐼𝑑𝑒𝑎𝑙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𝐶𝑦𝑐𝑙𝑒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𝑇𝑖𝑚𝑒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𝑥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𝑂𝑢𝑡𝑝𝑢𝑡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𝑄𝑇𝑌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𝑃𝐿𝐶</m:t>
                      </m:r>
                    </m:num>
                    <m:den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𝑂𝑝𝑒𝑟𝑎𝑡𝑖𝑛𝑔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𝑇𝑖𝑚𝑒</m:t>
                      </m:r>
                    </m:den>
                  </m:f>
                </m:oMath>
              </a14:m>
              <a:r>
                <a:rPr lang="en-US" sz="1100">
                  <a:latin typeface="Cambiria"/>
                  <a:ea typeface="Cambria" panose="02040503050406030204" pitchFamily="18" charset="0"/>
                </a:rPr>
                <a:t> x 100%</a:t>
              </a: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0373602-A089-493E-B8E1-733D9D83BBB0}"/>
                </a:ext>
              </a:extLst>
            </xdr:cNvPr>
            <xdr:cNvSpPr txBox="1"/>
          </xdr:nvSpPr>
          <xdr:spPr>
            <a:xfrm>
              <a:off x="136921" y="1946672"/>
              <a:ext cx="3381376" cy="2976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1" i="0">
                  <a:latin typeface="Cambiria"/>
                </a:rPr>
                <a:t>𝑷𝒆𝒓𝒇𝒐𝒓𝒎𝒂𝒏𝒄𝒆</a:t>
              </a:r>
              <a:r>
                <a:rPr lang="en-US" sz="1100" i="0">
                  <a:latin typeface="Cambiria"/>
                </a:rPr>
                <a:t>=(</a:t>
              </a:r>
              <a:r>
                <a:rPr lang="en-US" sz="1100" b="0" i="0">
                  <a:latin typeface="Cambiria"/>
                </a:rPr>
                <a:t>𝐼𝑑𝑒𝑎𝑙 𝐶𝑦𝑐𝑙𝑒 𝑇𝑖𝑚𝑒 𝑥 𝑂𝑢𝑡𝑝𝑢𝑡 𝑄𝑇𝑌 𝑃𝐿𝐶)/(𝑂𝑝𝑒𝑟𝑎𝑡𝑖𝑛𝑔 𝑇𝑖𝑚𝑒)</a:t>
              </a:r>
              <a:r>
                <a:rPr lang="en-US" sz="1100">
                  <a:latin typeface="Cambiria"/>
                  <a:ea typeface="Cambria" panose="02040503050406030204" pitchFamily="18" charset="0"/>
                </a:rPr>
                <a:t> x 100%</a:t>
              </a:r>
            </a:p>
          </xdr:txBody>
        </xdr:sp>
      </mc:Fallback>
    </mc:AlternateContent>
    <xdr:clientData/>
  </xdr:oneCellAnchor>
  <xdr:oneCellAnchor>
    <xdr:from>
      <xdr:col>0</xdr:col>
      <xdr:colOff>145463</xdr:colOff>
      <xdr:row>9</xdr:row>
      <xdr:rowOff>170051</xdr:rowOff>
    </xdr:from>
    <xdr:ext cx="3250692" cy="1978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25A8A3D-6909-4162-ACB1-D7DE61D6E8F1}"/>
                </a:ext>
              </a:extLst>
            </xdr:cNvPr>
            <xdr:cNvSpPr txBox="1"/>
          </xdr:nvSpPr>
          <xdr:spPr>
            <a:xfrm>
              <a:off x="145463" y="2029068"/>
              <a:ext cx="3250692" cy="1978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𝑶𝒑𝒆𝒓𝒂𝒕𝒊𝒏𝒈</m:t>
                  </m:r>
                  <m:r>
                    <a:rPr lang="en-US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𝑻𝒊𝒎𝒆</m:t>
                  </m:r>
                  <m:r>
                    <a:rPr lang="en-US" sz="11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n-US" sz="11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𝐴𝑣𝑎𝑖𝑙𝑎𝑏𝑙𝑒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𝑇𝑖𝑚𝑒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</m:oMath>
              </a14:m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-  DownTime</a:t>
              </a:r>
              <a:endParaRPr lang="en-US">
                <a:effectLst/>
              </a:endParaRP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25A8A3D-6909-4162-ACB1-D7DE61D6E8F1}"/>
                </a:ext>
              </a:extLst>
            </xdr:cNvPr>
            <xdr:cNvSpPr txBox="1"/>
          </xdr:nvSpPr>
          <xdr:spPr>
            <a:xfrm>
              <a:off x="145463" y="2029068"/>
              <a:ext cx="3250692" cy="1978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𝑶𝒑𝒆𝒓𝒂𝒕𝒊𝒏𝒈 𝑻𝒊𝒎𝒆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=𝐴𝑣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𝑎𝑖𝑙𝑎𝑏𝑙𝑒 𝑇𝑖𝑚𝑒 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-  DownTime</a:t>
              </a:r>
              <a:endParaRPr lang="en-US">
                <a:effectLst/>
              </a:endParaRPr>
            </a:p>
          </xdr:txBody>
        </xdr:sp>
      </mc:Fallback>
    </mc:AlternateContent>
    <xdr:clientData/>
  </xdr:oneCellAnchor>
  <xdr:oneCellAnchor>
    <xdr:from>
      <xdr:col>0</xdr:col>
      <xdr:colOff>149648</xdr:colOff>
      <xdr:row>11</xdr:row>
      <xdr:rowOff>94590</xdr:rowOff>
    </xdr:from>
    <xdr:ext cx="5020128" cy="1776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8F964B8-C4BD-4412-A795-3C7A77BB7D01}"/>
                </a:ext>
              </a:extLst>
            </xdr:cNvPr>
            <xdr:cNvSpPr txBox="1"/>
          </xdr:nvSpPr>
          <xdr:spPr>
            <a:xfrm>
              <a:off x="149648" y="2334607"/>
              <a:ext cx="5020128" cy="1776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sz="1100" b="1" i="1">
                      <a:latin typeface="Cambria Math" panose="02040503050406030204" pitchFamily="18" charset="0"/>
                    </a:rPr>
                    <m:t>𝑰𝒅𝒆𝒂𝒍</m:t>
                  </m:r>
                  <m:r>
                    <a:rPr lang="en-US" sz="1100" b="1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1" i="1">
                      <a:latin typeface="Cambria Math" panose="02040503050406030204" pitchFamily="18" charset="0"/>
                    </a:rPr>
                    <m:t>𝑪𝒚𝒄𝒍𝒆</m:t>
                  </m:r>
                  <m:r>
                    <a:rPr lang="en-US" sz="1100" b="1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1" i="1">
                      <a:latin typeface="Cambria Math" panose="02040503050406030204" pitchFamily="18" charset="0"/>
                    </a:rPr>
                    <m:t>𝑻𝒊𝒎𝒆</m:t>
                  </m:r>
                  <m:r>
                    <a:rPr lang="en-US" sz="1100" i="1">
                      <a:latin typeface="Cambria Math" panose="02040503050406030204" pitchFamily="18" charset="0"/>
                    </a:rPr>
                    <m:t>=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𝐷𝑖𝑑𝑎𝑝𝑎𝑡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𝑑𝑎𝑟𝑖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𝑚𝑎𝑠𝑡𝑒𝑟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𝑑𝑎𝑡𝑎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𝐼𝑡𝑒𝑚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𝑤𝑒𝑏𝑠𝑖𝑡𝑒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𝑊𝑀𝑆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𝐷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03 </m:t>
                  </m:r>
                </m:oMath>
              </a14:m>
              <a:r>
                <a:rPr lang="en-US" sz="1100">
                  <a:latin typeface="Cambria" panose="02040503050406030204" pitchFamily="18" charset="0"/>
                  <a:ea typeface="Cambria" panose="02040503050406030204" pitchFamily="18" charset="0"/>
                </a:rPr>
                <a:t> </a:t>
              </a: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8F964B8-C4BD-4412-A795-3C7A77BB7D01}"/>
                </a:ext>
              </a:extLst>
            </xdr:cNvPr>
            <xdr:cNvSpPr txBox="1"/>
          </xdr:nvSpPr>
          <xdr:spPr>
            <a:xfrm>
              <a:off x="149648" y="2334607"/>
              <a:ext cx="5020128" cy="1776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1" i="0">
                  <a:latin typeface="Cambria Math" panose="02040503050406030204" pitchFamily="18" charset="0"/>
                </a:rPr>
                <a:t>𝑰𝒅𝒆𝒂𝒍 𝑪𝒚𝒄𝒍𝒆 𝑻𝒊𝒎𝒆</a:t>
              </a:r>
              <a:r>
                <a:rPr lang="en-US" sz="1100" i="0">
                  <a:latin typeface="Cambria Math" panose="02040503050406030204" pitchFamily="18" charset="0"/>
                </a:rPr>
                <a:t>=</a:t>
              </a:r>
              <a:r>
                <a:rPr lang="en-US" sz="1100" b="0" i="0">
                  <a:latin typeface="Cambria Math" panose="02040503050406030204" pitchFamily="18" charset="0"/>
                </a:rPr>
                <a:t>𝐷𝑖𝑑𝑎𝑝𝑎𝑡 𝑑𝑎𝑟𝑖 𝑚𝑎𝑠𝑡𝑒𝑟 𝑑𝑎𝑡𝑎 𝐼𝑡𝑒𝑚 𝑤𝑒𝑏𝑠𝑖𝑡𝑒 𝑊𝑀𝑆 𝐷03 </a:t>
              </a:r>
              <a:r>
                <a:rPr lang="en-US" sz="1100">
                  <a:latin typeface="Cambria" panose="02040503050406030204" pitchFamily="18" charset="0"/>
                  <a:ea typeface="Cambria" panose="02040503050406030204" pitchFamily="18" charset="0"/>
                </a:rPr>
                <a:t> </a:t>
              </a:r>
            </a:p>
          </xdr:txBody>
        </xdr:sp>
      </mc:Fallback>
    </mc:AlternateContent>
    <xdr:clientData/>
  </xdr:oneCellAnchor>
  <xdr:oneCellAnchor>
    <xdr:from>
      <xdr:col>0</xdr:col>
      <xdr:colOff>121197</xdr:colOff>
      <xdr:row>12</xdr:row>
      <xdr:rowOff>143530</xdr:rowOff>
    </xdr:from>
    <xdr:ext cx="3465458" cy="1776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2F85B4B-CD55-4A94-B414-1AD8526F9ACA}"/>
                </a:ext>
              </a:extLst>
            </xdr:cNvPr>
            <xdr:cNvSpPr txBox="1"/>
          </xdr:nvSpPr>
          <xdr:spPr>
            <a:xfrm>
              <a:off x="121197" y="2574047"/>
              <a:ext cx="3465458" cy="1776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latin typeface="Cambria Math" panose="02040503050406030204" pitchFamily="18" charset="0"/>
                      </a:rPr>
                      <m:t>𝑶𝒖𝒕𝒑𝒖𝒕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𝑸𝑻𝒀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𝑷𝑳𝑪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𝐷𝑖𝑑𝑎𝑝𝑎𝑡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𝑑𝑎𝑟𝑖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𝑎𝑐𝑡𝑢𝑎𝑙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𝑞𝑡𝑦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𝑝𝑎𝑑𝑎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𝑃𝐿𝐶</m:t>
                    </m:r>
                  </m:oMath>
                </m:oMathPara>
              </a14:m>
              <a:endParaRPr lang="en-US" sz="1100">
                <a:latin typeface="Cambria" panose="02040503050406030204" pitchFamily="18" charset="0"/>
                <a:ea typeface="Cambria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2F85B4B-CD55-4A94-B414-1AD8526F9ACA}"/>
                </a:ext>
              </a:extLst>
            </xdr:cNvPr>
            <xdr:cNvSpPr txBox="1"/>
          </xdr:nvSpPr>
          <xdr:spPr>
            <a:xfrm>
              <a:off x="121197" y="2574047"/>
              <a:ext cx="3465458" cy="1776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1" i="0">
                  <a:latin typeface="Cambria Math" panose="02040503050406030204" pitchFamily="18" charset="0"/>
                </a:rPr>
                <a:t>𝑶𝒖𝒕𝒑𝒖𝒕 𝑸𝑻𝒀 𝑷𝑳𝑪</a:t>
              </a:r>
              <a:r>
                <a:rPr lang="en-US" sz="1100" i="0">
                  <a:latin typeface="Cambria Math" panose="02040503050406030204" pitchFamily="18" charset="0"/>
                </a:rPr>
                <a:t>=</a:t>
              </a:r>
              <a:r>
                <a:rPr lang="en-US" sz="1100" b="0" i="0">
                  <a:latin typeface="Cambria Math" panose="02040503050406030204" pitchFamily="18" charset="0"/>
                </a:rPr>
                <a:t>𝐷𝑖𝑑𝑎𝑝𝑎𝑡 𝑑𝑎𝑟𝑖 𝑎𝑐𝑡𝑢𝑎𝑙 𝑞𝑡𝑦 𝑝𝑎𝑑𝑎 𝑃𝐿𝐶</a:t>
              </a:r>
              <a:endParaRPr lang="en-US" sz="1100">
                <a:latin typeface="Cambria" panose="02040503050406030204" pitchFamily="18" charset="0"/>
                <a:ea typeface="Cambria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152399</xdr:colOff>
      <xdr:row>16</xdr:row>
      <xdr:rowOff>74599</xdr:rowOff>
    </xdr:from>
    <xdr:ext cx="3381376" cy="2976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A1EB5D5-3852-47BB-90AA-8DBF8C98C3AC}"/>
                </a:ext>
              </a:extLst>
            </xdr:cNvPr>
            <xdr:cNvSpPr txBox="1"/>
          </xdr:nvSpPr>
          <xdr:spPr>
            <a:xfrm>
              <a:off x="152399" y="3378789"/>
              <a:ext cx="3381376" cy="2976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sz="1100" b="1" i="1">
                      <a:latin typeface="Cambria Math" panose="02040503050406030204" pitchFamily="18" charset="0"/>
                    </a:rPr>
                    <m:t>𝑸𝒖𝒂𝒍𝒊𝒕𝒚</m:t>
                  </m:r>
                  <m:r>
                    <a:rPr lang="en-US" sz="110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𝑂𝑢𝑡𝑝𝑢𝑡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𝑄𝑇𝑌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𝑃𝐿𝐶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−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𝑅𝑒𝑗𝑒𝑐𝑡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𝑄𝑇𝑌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</m:num>
                    <m:den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𝑂𝑢𝑡𝑝𝑢𝑡</m:t>
                      </m:r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𝑄𝑇𝑌</m:t>
                      </m:r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𝑃𝐿𝐶</m:t>
                      </m:r>
                    </m:den>
                  </m:f>
                </m:oMath>
              </a14:m>
              <a:r>
                <a:rPr lang="en-US" sz="1100">
                  <a:latin typeface="Cambria" panose="02040503050406030204" pitchFamily="18" charset="0"/>
                  <a:ea typeface="Cambria" panose="02040503050406030204" pitchFamily="18" charset="0"/>
                </a:rPr>
                <a:t> x 100%</a:t>
              </a: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A1EB5D5-3852-47BB-90AA-8DBF8C98C3AC}"/>
                </a:ext>
              </a:extLst>
            </xdr:cNvPr>
            <xdr:cNvSpPr txBox="1"/>
          </xdr:nvSpPr>
          <xdr:spPr>
            <a:xfrm>
              <a:off x="152399" y="3378789"/>
              <a:ext cx="3381376" cy="2976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1" i="0">
                  <a:latin typeface="Cambria Math" panose="02040503050406030204" pitchFamily="18" charset="0"/>
                </a:rPr>
                <a:t>𝑸𝒖𝒂𝒍𝒊𝒕𝒚</a:t>
              </a:r>
              <a:r>
                <a:rPr lang="en-US" sz="1100" i="0">
                  <a:latin typeface="Cambria Math" panose="02040503050406030204" pitchFamily="18" charset="0"/>
                </a:rPr>
                <a:t>=(</a:t>
              </a:r>
              <a:r>
                <a:rPr lang="en-US" sz="1100" b="0" i="0">
                  <a:latin typeface="Cambria Math" panose="02040503050406030204" pitchFamily="18" charset="0"/>
                </a:rPr>
                <a:t>𝑂𝑢𝑡𝑝𝑢𝑡 𝑄𝑇𝑌 𝑃𝐿𝐶 −𝑅𝑒𝑗𝑒𝑐𝑡 𝑄𝑇𝑌 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𝑂𝑢𝑡𝑝𝑢𝑡 𝑄𝑇𝑌 𝑃𝐿𝐶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>
                  <a:latin typeface="Cambria" panose="02040503050406030204" pitchFamily="18" charset="0"/>
                  <a:ea typeface="Cambria" panose="02040503050406030204" pitchFamily="18" charset="0"/>
                </a:rPr>
                <a:t> x 100%</a:t>
              </a:r>
            </a:p>
          </xdr:txBody>
        </xdr:sp>
      </mc:Fallback>
    </mc:AlternateContent>
    <xdr:clientData/>
  </xdr:oneCellAnchor>
  <xdr:oneCellAnchor>
    <xdr:from>
      <xdr:col>0</xdr:col>
      <xdr:colOff>131378</xdr:colOff>
      <xdr:row>18</xdr:row>
      <xdr:rowOff>38714</xdr:rowOff>
    </xdr:from>
    <xdr:ext cx="3435570" cy="1776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F10F2B6-B700-4392-A9BD-D78DC3A3719F}"/>
                </a:ext>
              </a:extLst>
            </xdr:cNvPr>
            <xdr:cNvSpPr txBox="1"/>
          </xdr:nvSpPr>
          <xdr:spPr>
            <a:xfrm>
              <a:off x="131378" y="3723904"/>
              <a:ext cx="3435570" cy="1776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latin typeface="Cambria Math" panose="02040503050406030204" pitchFamily="18" charset="0"/>
                      </a:rPr>
                      <m:t>𝑶𝒖𝒕𝒑𝒖𝒕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𝑸𝑻𝒀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𝑷𝑳𝑪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𝐷𝑖𝑑𝑎𝑝𝑎𝑡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𝑑𝑎𝑟𝑖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𝑎𝑐𝑡𝑢𝑎𝑙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𝑞𝑡𝑦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𝑝𝑎𝑑𝑎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𝑃𝐿𝐶</m:t>
                    </m:r>
                  </m:oMath>
                </m:oMathPara>
              </a14:m>
              <a:endParaRPr lang="en-US" sz="1100">
                <a:latin typeface="Cambria" panose="02040503050406030204" pitchFamily="18" charset="0"/>
                <a:ea typeface="Cambria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F10F2B6-B700-4392-A9BD-D78DC3A3719F}"/>
                </a:ext>
              </a:extLst>
            </xdr:cNvPr>
            <xdr:cNvSpPr txBox="1"/>
          </xdr:nvSpPr>
          <xdr:spPr>
            <a:xfrm>
              <a:off x="131378" y="3723904"/>
              <a:ext cx="3435570" cy="1776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1" i="0">
                  <a:latin typeface="Cambria Math" panose="02040503050406030204" pitchFamily="18" charset="0"/>
                </a:rPr>
                <a:t>𝑶𝒖𝒕𝒑𝒖𝒕 𝑸𝑻𝒀 𝑷𝑳𝑪</a:t>
              </a:r>
              <a:r>
                <a:rPr lang="en-US" sz="1100" i="0">
                  <a:latin typeface="Cambria Math" panose="02040503050406030204" pitchFamily="18" charset="0"/>
                </a:rPr>
                <a:t>=</a:t>
              </a:r>
              <a:r>
                <a:rPr lang="en-US" sz="1100" b="0" i="0">
                  <a:latin typeface="Cambria Math" panose="02040503050406030204" pitchFamily="18" charset="0"/>
                </a:rPr>
                <a:t>𝐷𝑖𝑑𝑎𝑝𝑎𝑡 𝑑𝑎𝑟𝑖 𝑎𝑐𝑡𝑢𝑎𝑙 𝑞𝑡𝑦 𝑝𝑎𝑑𝑎 𝑃𝐿𝐶</a:t>
              </a:r>
              <a:endParaRPr lang="en-US" sz="1100">
                <a:latin typeface="Cambria" panose="02040503050406030204" pitchFamily="18" charset="0"/>
                <a:ea typeface="Cambria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121525</xdr:colOff>
      <xdr:row>19</xdr:row>
      <xdr:rowOff>85190</xdr:rowOff>
    </xdr:from>
    <xdr:ext cx="3151381" cy="1776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9AA560F-14CB-4E85-A308-560BD7821D58}"/>
                </a:ext>
              </a:extLst>
            </xdr:cNvPr>
            <xdr:cNvSpPr txBox="1"/>
          </xdr:nvSpPr>
          <xdr:spPr>
            <a:xfrm>
              <a:off x="121525" y="3960880"/>
              <a:ext cx="3151381" cy="1776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latin typeface="Cambria Math" panose="02040503050406030204" pitchFamily="18" charset="0"/>
                      </a:rPr>
                      <m:t>𝑹𝒆𝒋𝒆𝒄𝒕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𝑸𝑻𝒀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𝐷𝑖𝑑𝑎𝑝𝑎𝑡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𝑑𝑎𝑟𝑖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𝑞𝑡𝑦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𝑟𝑒𝑗𝑒𝑐𝑡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𝑝𝑎𝑑𝑎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𝐾𝐼𝑂𝑆</m:t>
                    </m:r>
                  </m:oMath>
                </m:oMathPara>
              </a14:m>
              <a:endParaRPr lang="en-US" sz="1100">
                <a:latin typeface="Cambria" panose="02040503050406030204" pitchFamily="18" charset="0"/>
                <a:ea typeface="Cambria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9AA560F-14CB-4E85-A308-560BD7821D58}"/>
                </a:ext>
              </a:extLst>
            </xdr:cNvPr>
            <xdr:cNvSpPr txBox="1"/>
          </xdr:nvSpPr>
          <xdr:spPr>
            <a:xfrm>
              <a:off x="121525" y="3960880"/>
              <a:ext cx="3151381" cy="1776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1" i="0">
                  <a:latin typeface="Cambria Math" panose="02040503050406030204" pitchFamily="18" charset="0"/>
                </a:rPr>
                <a:t>𝑹𝒆𝒋𝒆𝒄𝒕 𝑸𝑻𝒀</a:t>
              </a:r>
              <a:r>
                <a:rPr lang="en-US" sz="1100" i="0">
                  <a:latin typeface="Cambria Math" panose="02040503050406030204" pitchFamily="18" charset="0"/>
                </a:rPr>
                <a:t>=</a:t>
              </a:r>
              <a:r>
                <a:rPr lang="en-US" sz="1100" b="0" i="0">
                  <a:latin typeface="Cambria Math" panose="02040503050406030204" pitchFamily="18" charset="0"/>
                </a:rPr>
                <a:t>𝐷𝑖𝑑𝑎𝑝𝑎𝑡 𝑑𝑎𝑟𝑖 𝑞𝑡𝑦 𝑟𝑒𝑗𝑒𝑐𝑡 𝑝𝑎𝑑𝑎 𝐾𝐼𝑂𝑆</a:t>
              </a:r>
              <a:endParaRPr lang="en-US" sz="1100">
                <a:latin typeface="Cambria" panose="02040503050406030204" pitchFamily="18" charset="0"/>
                <a:ea typeface="Cambria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155971</xdr:colOff>
      <xdr:row>22</xdr:row>
      <xdr:rowOff>96441</xdr:rowOff>
    </xdr:from>
    <xdr:ext cx="2612232" cy="2976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7B08BC41-2757-4AE3-B29F-1722EC06C819}"/>
                </a:ext>
              </a:extLst>
            </xdr:cNvPr>
            <xdr:cNvSpPr txBox="1"/>
          </xdr:nvSpPr>
          <xdr:spPr>
            <a:xfrm>
              <a:off x="155971" y="4727972"/>
              <a:ext cx="2612232" cy="2976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sz="1100" b="1" i="1">
                      <a:latin typeface="Cambria Math" panose="02040503050406030204" pitchFamily="18" charset="0"/>
                    </a:rPr>
                    <m:t>𝑼𝒕𝒊𝒍𝒊𝒛𝒂𝒕𝒊𝒐𝒏</m:t>
                  </m:r>
                  <m:r>
                    <a:rPr lang="en-US" sz="110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𝑃𝑙𝑎𝑛𝑛𝑖𝑛𝑔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𝑃𝑟𝑜𝑑𝑢𝑐𝑡𝑖𝑜𝑛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</m:num>
                    <m:den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𝐶𝑎𝑝𝑎𝑐𝑖𝑡𝑦</m:t>
                      </m:r>
                    </m:den>
                  </m:f>
                </m:oMath>
              </a14:m>
              <a:r>
                <a:rPr lang="en-US" sz="1100">
                  <a:latin typeface="Cambria" panose="02040503050406030204" pitchFamily="18" charset="0"/>
                  <a:ea typeface="Cambria" panose="02040503050406030204" pitchFamily="18" charset="0"/>
                </a:rPr>
                <a:t> x 100%</a:t>
              </a: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7B08BC41-2757-4AE3-B29F-1722EC06C819}"/>
                </a:ext>
              </a:extLst>
            </xdr:cNvPr>
            <xdr:cNvSpPr txBox="1"/>
          </xdr:nvSpPr>
          <xdr:spPr>
            <a:xfrm>
              <a:off x="155971" y="4727972"/>
              <a:ext cx="2612232" cy="2976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1" i="0">
                  <a:latin typeface="Cambria Math" panose="02040503050406030204" pitchFamily="18" charset="0"/>
                </a:rPr>
                <a:t>𝑼𝒕𝒊𝒍𝒊𝒛𝒂𝒕𝒊𝒐𝒏</a:t>
              </a:r>
              <a:r>
                <a:rPr lang="en-US" sz="1100" i="0">
                  <a:latin typeface="Cambria Math" panose="02040503050406030204" pitchFamily="18" charset="0"/>
                </a:rPr>
                <a:t>=(</a:t>
              </a:r>
              <a:r>
                <a:rPr lang="en-US" sz="1100" b="0" i="0">
                  <a:latin typeface="Cambria Math" panose="02040503050406030204" pitchFamily="18" charset="0"/>
                </a:rPr>
                <a:t>𝑃𝑙𝑎𝑛𝑛𝑖𝑛𝑔 𝑃𝑟𝑜𝑑𝑢𝑐𝑡𝑖𝑜𝑛 )/𝐶𝑎𝑝𝑎𝑐𝑖𝑡𝑦</a:t>
              </a:r>
              <a:r>
                <a:rPr lang="en-US" sz="1100">
                  <a:latin typeface="Cambria" panose="02040503050406030204" pitchFamily="18" charset="0"/>
                  <a:ea typeface="Cambria" panose="02040503050406030204" pitchFamily="18" charset="0"/>
                </a:rPr>
                <a:t> x 100%</a:t>
              </a:r>
            </a:p>
          </xdr:txBody>
        </xdr:sp>
      </mc:Fallback>
    </mc:AlternateContent>
    <xdr:clientData/>
  </xdr:oneCellAnchor>
  <xdr:oneCellAnchor>
    <xdr:from>
      <xdr:col>0</xdr:col>
      <xdr:colOff>171450</xdr:colOff>
      <xdr:row>24</xdr:row>
      <xdr:rowOff>54030</xdr:rowOff>
    </xdr:from>
    <xdr:ext cx="2612232" cy="2976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9246FC74-BDB2-4E09-AA89-84B526F569DC}"/>
                </a:ext>
              </a:extLst>
            </xdr:cNvPr>
            <xdr:cNvSpPr txBox="1"/>
          </xdr:nvSpPr>
          <xdr:spPr>
            <a:xfrm>
              <a:off x="171450" y="5190961"/>
              <a:ext cx="2612232" cy="2976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sz="1100" b="1" i="1">
                      <a:latin typeface="Cambria Math" panose="02040503050406030204" pitchFamily="18" charset="0"/>
                    </a:rPr>
                    <m:t>𝑪𝒂𝒑𝒂𝒄𝒊𝒕𝒚</m:t>
                  </m:r>
                  <m:r>
                    <a:rPr lang="en-US" sz="110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𝑂𝑝𝑒𝑟𝑎𝑡𝑖𝑛𝑔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𝑇𝑖𝑚𝑒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</m:num>
                    <m:den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𝐼𝑑𝑒𝑎𝑙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𝐶𝑦𝑐𝑙𝑒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𝑇𝑖𝑚𝑒</m:t>
                      </m:r>
                    </m:den>
                  </m:f>
                </m:oMath>
              </a14:m>
              <a:r>
                <a:rPr lang="en-US" sz="1100">
                  <a:latin typeface="Cambria" panose="02040503050406030204" pitchFamily="18" charset="0"/>
                  <a:ea typeface="Cambria" panose="02040503050406030204" pitchFamily="18" charset="0"/>
                </a:rPr>
                <a:t> </a:t>
              </a: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9246FC74-BDB2-4E09-AA89-84B526F569DC}"/>
                </a:ext>
              </a:extLst>
            </xdr:cNvPr>
            <xdr:cNvSpPr txBox="1"/>
          </xdr:nvSpPr>
          <xdr:spPr>
            <a:xfrm>
              <a:off x="171450" y="5190961"/>
              <a:ext cx="2612232" cy="2976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1" i="0">
                  <a:latin typeface="Cambria Math" panose="02040503050406030204" pitchFamily="18" charset="0"/>
                </a:rPr>
                <a:t>𝑪𝒂𝒑𝒂𝒄𝒊𝒕𝒚</a:t>
              </a:r>
              <a:r>
                <a:rPr lang="en-US" sz="1100" i="0">
                  <a:latin typeface="Cambria Math" panose="02040503050406030204" pitchFamily="18" charset="0"/>
                </a:rPr>
                <a:t>=(</a:t>
              </a:r>
              <a:r>
                <a:rPr lang="en-US" sz="1100" b="0" i="0">
                  <a:latin typeface="Cambria Math" panose="02040503050406030204" pitchFamily="18" charset="0"/>
                </a:rPr>
                <a:t>𝑂𝑝𝑒𝑟𝑎𝑡𝑖𝑛𝑔 𝑇𝑖𝑚𝑒 )/(𝐼𝑑𝑒𝑎𝑙 𝐶𝑦𝑐𝑙𝑒 𝑇𝑖𝑚𝑒)</a:t>
              </a:r>
              <a:r>
                <a:rPr lang="en-US" sz="1100">
                  <a:latin typeface="Cambria" panose="02040503050406030204" pitchFamily="18" charset="0"/>
                  <a:ea typeface="Cambria" panose="02040503050406030204" pitchFamily="18" charset="0"/>
                </a:rPr>
                <a:t> </a:t>
              </a:r>
            </a:p>
          </xdr:txBody>
        </xdr:sp>
      </mc:Fallback>
    </mc:AlternateContent>
    <xdr:clientData/>
  </xdr:oneCellAnchor>
  <xdr:oneCellAnchor>
    <xdr:from>
      <xdr:col>0</xdr:col>
      <xdr:colOff>188446</xdr:colOff>
      <xdr:row>25</xdr:row>
      <xdr:rowOff>274826</xdr:rowOff>
    </xdr:from>
    <xdr:ext cx="3279967" cy="21127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9783AC70-A165-4A24-8AAF-5BA4E79255C5}"/>
                </a:ext>
              </a:extLst>
            </xdr:cNvPr>
            <xdr:cNvSpPr txBox="1"/>
          </xdr:nvSpPr>
          <xdr:spPr>
            <a:xfrm>
              <a:off x="188446" y="5825602"/>
              <a:ext cx="3279967" cy="2112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𝑶𝒑𝒆𝒓𝒂𝒕𝒊𝒏𝒈</m:t>
                  </m:r>
                  <m:r>
                    <a:rPr lang="en-US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𝑻𝒊𝒎𝒆</m:t>
                  </m:r>
                  <m:r>
                    <a:rPr lang="en-US" sz="11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n-US" sz="11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𝐴𝑣𝑎𝑖𝑙𝑎𝑏𝑙𝑒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𝑇𝑖𝑚𝑒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</m:oMath>
              </a14:m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-  </a:t>
              </a:r>
              <a:r>
                <a:rPr lang="en-US" sz="1100" i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DownTime</a:t>
              </a:r>
              <a:endParaRPr lang="en-US" i="1">
                <a:effectLst/>
              </a:endParaRP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9783AC70-A165-4A24-8AAF-5BA4E79255C5}"/>
                </a:ext>
              </a:extLst>
            </xdr:cNvPr>
            <xdr:cNvSpPr txBox="1"/>
          </xdr:nvSpPr>
          <xdr:spPr>
            <a:xfrm>
              <a:off x="188446" y="5825602"/>
              <a:ext cx="3279967" cy="2112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𝑶𝒑𝒆𝒓𝒂𝒕𝒊𝒏𝒈 𝑻𝒊𝒎𝒆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=𝐴𝑣𝑎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𝑖𝑙𝑎𝑏𝑙𝑒 𝑇𝑖𝑚𝑒 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-  </a:t>
              </a:r>
              <a:r>
                <a:rPr lang="en-US" sz="1100" i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DownTime</a:t>
              </a:r>
              <a:endParaRPr lang="en-US" i="1">
                <a:effectLst/>
              </a:endParaRPr>
            </a:p>
          </xdr:txBody>
        </xdr:sp>
      </mc:Fallback>
    </mc:AlternateContent>
    <xdr:clientData/>
  </xdr:oneCellAnchor>
  <xdr:oneCellAnchor>
    <xdr:from>
      <xdr:col>0</xdr:col>
      <xdr:colOff>192632</xdr:colOff>
      <xdr:row>27</xdr:row>
      <xdr:rowOff>98777</xdr:rowOff>
    </xdr:from>
    <xdr:ext cx="4583701" cy="1776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073655C3-4CE4-45CA-8CF5-400FBC018B42}"/>
                </a:ext>
              </a:extLst>
            </xdr:cNvPr>
            <xdr:cNvSpPr txBox="1"/>
          </xdr:nvSpPr>
          <xdr:spPr>
            <a:xfrm>
              <a:off x="192632" y="5925449"/>
              <a:ext cx="4583701" cy="1776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sz="1100" b="1" i="1">
                      <a:latin typeface="Cambria Math" panose="02040503050406030204" pitchFamily="18" charset="0"/>
                    </a:rPr>
                    <m:t>𝑰𝒅𝒆𝒂𝒍</m:t>
                  </m:r>
                  <m:r>
                    <a:rPr lang="en-US" sz="1100" b="1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1" i="1">
                      <a:latin typeface="Cambria Math" panose="02040503050406030204" pitchFamily="18" charset="0"/>
                    </a:rPr>
                    <m:t>𝑪𝒚𝒄𝒍𝒆</m:t>
                  </m:r>
                  <m:r>
                    <a:rPr lang="en-US" sz="1100" b="1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1" i="1">
                      <a:latin typeface="Cambria Math" panose="02040503050406030204" pitchFamily="18" charset="0"/>
                    </a:rPr>
                    <m:t>𝑻𝒊𝒎𝒆</m:t>
                  </m:r>
                  <m:r>
                    <a:rPr lang="en-US" sz="1100" i="1">
                      <a:latin typeface="Cambria Math" panose="02040503050406030204" pitchFamily="18" charset="0"/>
                    </a:rPr>
                    <m:t>=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𝐷𝑖𝑑𝑎𝑝𝑎𝑡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𝑑𝑎𝑟𝑖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𝑚𝑎𝑠𝑡𝑒𝑟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𝑑𝑎𝑡𝑎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𝐼𝑡𝑒𝑚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𝑤𝑒𝑏𝑠𝑖𝑡𝑒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𝑊𝑀𝑆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𝐷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03 </m:t>
                  </m:r>
                </m:oMath>
              </a14:m>
              <a:r>
                <a:rPr lang="en-US" sz="1100">
                  <a:latin typeface="Cambria" panose="02040503050406030204" pitchFamily="18" charset="0"/>
                  <a:ea typeface="Cambria" panose="02040503050406030204" pitchFamily="18" charset="0"/>
                </a:rPr>
                <a:t> </a:t>
              </a: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073655C3-4CE4-45CA-8CF5-400FBC018B42}"/>
                </a:ext>
              </a:extLst>
            </xdr:cNvPr>
            <xdr:cNvSpPr txBox="1"/>
          </xdr:nvSpPr>
          <xdr:spPr>
            <a:xfrm>
              <a:off x="192632" y="5925449"/>
              <a:ext cx="4583701" cy="1776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1" i="0">
                  <a:latin typeface="Cambria Math" panose="02040503050406030204" pitchFamily="18" charset="0"/>
                </a:rPr>
                <a:t>𝑰𝒅𝒆𝒂𝒍 𝑪𝒚𝒄𝒍𝒆 𝑻𝒊𝒎𝒆</a:t>
              </a:r>
              <a:r>
                <a:rPr lang="en-US" sz="1100" i="0">
                  <a:latin typeface="Cambria Math" panose="02040503050406030204" pitchFamily="18" charset="0"/>
                </a:rPr>
                <a:t>=</a:t>
              </a:r>
              <a:r>
                <a:rPr lang="en-US" sz="1100" b="0" i="0">
                  <a:latin typeface="Cambria Math" panose="02040503050406030204" pitchFamily="18" charset="0"/>
                </a:rPr>
                <a:t>𝐷𝑖𝑑𝑎𝑝𝑎𝑡 𝑑𝑎𝑟𝑖 𝑚𝑎𝑠𝑡𝑒𝑟 𝑑𝑎𝑡𝑎 𝐼𝑡𝑒𝑚 𝑤𝑒𝑏𝑠𝑖𝑡𝑒 𝑊𝑀𝑆 𝐷03 </a:t>
              </a:r>
              <a:r>
                <a:rPr lang="en-US" sz="1100">
                  <a:latin typeface="Cambria" panose="02040503050406030204" pitchFamily="18" charset="0"/>
                  <a:ea typeface="Cambria" panose="02040503050406030204" pitchFamily="18" charset="0"/>
                </a:rPr>
                <a:t> </a:t>
              </a:r>
            </a:p>
          </xdr:txBody>
        </xdr:sp>
      </mc:Fallback>
    </mc:AlternateContent>
    <xdr:clientData/>
  </xdr:oneCellAnchor>
  <xdr:oneCellAnchor>
    <xdr:from>
      <xdr:col>0</xdr:col>
      <xdr:colOff>122411</xdr:colOff>
      <xdr:row>6</xdr:row>
      <xdr:rowOff>87182</xdr:rowOff>
    </xdr:from>
    <xdr:ext cx="3379304" cy="2228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009C4FFE-C193-423B-92E0-FBCFE4418AF4}"/>
                </a:ext>
              </a:extLst>
            </xdr:cNvPr>
            <xdr:cNvSpPr txBox="1"/>
          </xdr:nvSpPr>
          <xdr:spPr>
            <a:xfrm>
              <a:off x="122411" y="1144958"/>
              <a:ext cx="3379304" cy="2228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1" i="1">
                  <a:latin typeface="Cambiria"/>
                  <a:ea typeface="Cambria" panose="02040503050406030204" pitchFamily="18" charset="0"/>
                </a:rPr>
                <a:t>D</a:t>
              </a:r>
              <a14:m>
                <m:oMath xmlns:m="http://schemas.openxmlformats.org/officeDocument/2006/math">
                  <m:r>
                    <a:rPr lang="en-US" sz="1100" b="1" i="1">
                      <a:latin typeface="Cambria Math" panose="02040503050406030204" pitchFamily="18" charset="0"/>
                    </a:rPr>
                    <m:t>𝒐𝒘𝒏𝑻𝒊𝒎𝒆</m:t>
                  </m:r>
                  <m:r>
                    <a:rPr lang="en-US" sz="1100" i="1">
                      <a:latin typeface="Cambria Math" panose="02040503050406030204" pitchFamily="18" charset="0"/>
                    </a:rPr>
                    <m:t>=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𝑊𝑎𝑘𝑡𝑢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𝑚𝑒𝑠𝑖𝑛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𝑑𝑜𝑤𝑛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𝑑𝑖𝑑𝑎𝑝𝑎𝑡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𝑑𝑎𝑟𝑖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𝑃𝐿𝐶</m:t>
                  </m:r>
                </m:oMath>
              </a14:m>
              <a:endParaRPr lang="en-US" sz="1100">
                <a:latin typeface="Cambiria"/>
                <a:ea typeface="Cambria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009C4FFE-C193-423B-92E0-FBCFE4418AF4}"/>
                </a:ext>
              </a:extLst>
            </xdr:cNvPr>
            <xdr:cNvSpPr txBox="1"/>
          </xdr:nvSpPr>
          <xdr:spPr>
            <a:xfrm>
              <a:off x="122411" y="1144958"/>
              <a:ext cx="3379304" cy="2228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1" i="1">
                  <a:latin typeface="Cambiria"/>
                  <a:ea typeface="Cambria" panose="02040503050406030204" pitchFamily="18" charset="0"/>
                </a:rPr>
                <a:t>D</a:t>
              </a:r>
              <a:r>
                <a:rPr lang="en-US" sz="1100" b="1" i="0">
                  <a:latin typeface="Cambiria"/>
                </a:rPr>
                <a:t>𝒐𝒘𝒏𝑻𝒊𝒎𝒆</a:t>
              </a:r>
              <a:r>
                <a:rPr lang="en-US" sz="1100" i="0">
                  <a:latin typeface="Cambiria"/>
                </a:rPr>
                <a:t>=</a:t>
              </a:r>
              <a:r>
                <a:rPr lang="en-US" sz="1100" b="0" i="0">
                  <a:latin typeface="Cambiria"/>
                </a:rPr>
                <a:t>𝑊𝑎𝑘𝑡𝑢 𝑚𝑒𝑠𝑖𝑛 𝑑𝑜𝑤𝑛 𝑑𝑖𝑑𝑎𝑝𝑎𝑡 𝑑𝑎𝑟𝑖 𝑃𝐿𝐶</a:t>
              </a:r>
              <a:endParaRPr lang="en-US" sz="1100">
                <a:latin typeface="Cambiria"/>
                <a:ea typeface="Cambria" panose="02040503050406030204" pitchFamily="18" charset="0"/>
              </a:endParaRPr>
            </a:p>
          </xdr:txBody>
        </xdr:sp>
      </mc:Fallback>
    </mc:AlternateContent>
    <xdr:clientData/>
  </xdr:oneCellAnchor>
  <xdr:twoCellAnchor editAs="oneCell">
    <xdr:from>
      <xdr:col>0</xdr:col>
      <xdr:colOff>0</xdr:colOff>
      <xdr:row>30</xdr:row>
      <xdr:rowOff>0</xdr:rowOff>
    </xdr:from>
    <xdr:to>
      <xdr:col>14</xdr:col>
      <xdr:colOff>39748</xdr:colOff>
      <xdr:row>33</xdr:row>
      <xdr:rowOff>92786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CD4303B-3815-4304-8457-3F8593FBE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21824"/>
          <a:ext cx="9161336" cy="662185"/>
        </a:xfrm>
        <a:prstGeom prst="rect">
          <a:avLst/>
        </a:prstGeom>
      </xdr:spPr>
    </xdr:pic>
    <xdr:clientData/>
  </xdr:twoCellAnchor>
  <xdr:oneCellAnchor>
    <xdr:from>
      <xdr:col>0</xdr:col>
      <xdr:colOff>164521</xdr:colOff>
      <xdr:row>13</xdr:row>
      <xdr:rowOff>79162</xdr:rowOff>
    </xdr:from>
    <xdr:ext cx="3379304" cy="2228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5E3434FB-8D56-4594-82A2-FDB2D3997F0D}"/>
                </a:ext>
              </a:extLst>
            </xdr:cNvPr>
            <xdr:cNvSpPr txBox="1"/>
          </xdr:nvSpPr>
          <xdr:spPr>
            <a:xfrm>
              <a:off x="164521" y="2851438"/>
              <a:ext cx="3379304" cy="2228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1" i="1">
                  <a:latin typeface="Cambiria"/>
                  <a:ea typeface="Cambria" panose="02040503050406030204" pitchFamily="18" charset="0"/>
                </a:rPr>
                <a:t>D</a:t>
              </a:r>
              <a14:m>
                <m:oMath xmlns:m="http://schemas.openxmlformats.org/officeDocument/2006/math">
                  <m:r>
                    <a:rPr lang="en-US" sz="1100" b="1" i="1">
                      <a:latin typeface="Cambria Math" panose="02040503050406030204" pitchFamily="18" charset="0"/>
                    </a:rPr>
                    <m:t>𝒐𝒘𝒏𝑻𝒊𝒎𝒆</m:t>
                  </m:r>
                  <m:r>
                    <a:rPr lang="en-US" sz="1100" i="1">
                      <a:latin typeface="Cambria Math" panose="02040503050406030204" pitchFamily="18" charset="0"/>
                    </a:rPr>
                    <m:t>=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𝑊𝑎𝑘𝑡𝑢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𝑚𝑒𝑠𝑖𝑛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𝑑𝑜𝑤𝑛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𝑑𝑖𝑑𝑎𝑝𝑎𝑡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𝑑𝑎𝑟𝑖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𝑃𝐿𝐶</m:t>
                  </m:r>
                </m:oMath>
              </a14:m>
              <a:endParaRPr lang="en-US" sz="1100">
                <a:latin typeface="Cambiria"/>
                <a:ea typeface="Cambria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5E3434FB-8D56-4594-82A2-FDB2D3997F0D}"/>
                </a:ext>
              </a:extLst>
            </xdr:cNvPr>
            <xdr:cNvSpPr txBox="1"/>
          </xdr:nvSpPr>
          <xdr:spPr>
            <a:xfrm>
              <a:off x="164521" y="2851438"/>
              <a:ext cx="3379304" cy="2228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1" i="1">
                  <a:latin typeface="Cambiria"/>
                  <a:ea typeface="Cambria" panose="02040503050406030204" pitchFamily="18" charset="0"/>
                </a:rPr>
                <a:t>D</a:t>
              </a:r>
              <a:r>
                <a:rPr lang="en-US" sz="1100" b="1" i="0">
                  <a:latin typeface="Cambiria"/>
                </a:rPr>
                <a:t>𝒐𝒘𝒏𝑻𝒊𝒎𝒆</a:t>
              </a:r>
              <a:r>
                <a:rPr lang="en-US" sz="1100" i="0">
                  <a:latin typeface="Cambiria"/>
                </a:rPr>
                <a:t>=</a:t>
              </a:r>
              <a:r>
                <a:rPr lang="en-US" sz="1100" b="0" i="0">
                  <a:latin typeface="Cambiria"/>
                </a:rPr>
                <a:t>𝑊𝑎𝑘𝑡𝑢 𝑚𝑒𝑠𝑖𝑛 𝑑𝑜𝑤𝑛 𝑑𝑖𝑑𝑎𝑝𝑎𝑡 𝑑𝑎𝑟𝑖 𝑃𝐿𝐶</a:t>
              </a:r>
              <a:endParaRPr lang="en-US" sz="1100">
                <a:latin typeface="Cambiria"/>
                <a:ea typeface="Cambria" panose="02040503050406030204" pitchFamily="18" charset="0"/>
              </a:endParaRP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12</xdr:row>
      <xdr:rowOff>57150</xdr:rowOff>
    </xdr:from>
    <xdr:to>
      <xdr:col>13</xdr:col>
      <xdr:colOff>176041</xdr:colOff>
      <xdr:row>15</xdr:row>
      <xdr:rowOff>173512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8F5F57B-26A8-470E-A064-50712F4C7E46}"/>
            </a:ext>
          </a:extLst>
        </xdr:cNvPr>
        <xdr:cNvGrpSpPr/>
      </xdr:nvGrpSpPr>
      <xdr:grpSpPr>
        <a:xfrm>
          <a:off x="933450" y="2352675"/>
          <a:ext cx="4986166" cy="687862"/>
          <a:chOff x="809625" y="1390650"/>
          <a:chExt cx="5014741" cy="68786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56AF45A1-B69F-FFCB-F450-0944BCF433F8}"/>
              </a:ext>
            </a:extLst>
          </xdr:cNvPr>
          <xdr:cNvSpPr/>
        </xdr:nvSpPr>
        <xdr:spPr>
          <a:xfrm>
            <a:off x="856876" y="1428570"/>
            <a:ext cx="4967490" cy="649942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9E8F87E0-9B26-AC9E-1017-8ACAA7B2A99B}"/>
              </a:ext>
            </a:extLst>
          </xdr:cNvPr>
          <xdr:cNvSpPr txBox="1"/>
        </xdr:nvSpPr>
        <xdr:spPr>
          <a:xfrm>
            <a:off x="2461712" y="1400313"/>
            <a:ext cx="2811663" cy="2971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Operating Time</a:t>
            </a:r>
            <a:endParaRPr lang="en-ID" sz="1100"/>
          </a:p>
        </xdr:txBody>
      </xdr:sp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78424782-85D4-B404-758E-F7C3A1DBE3B5}"/>
              </a:ext>
            </a:extLst>
          </xdr:cNvPr>
          <xdr:cNvCxnSpPr/>
        </xdr:nvCxnSpPr>
        <xdr:spPr>
          <a:xfrm>
            <a:off x="2601626" y="1719363"/>
            <a:ext cx="2461532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214BCA4D-7542-BF9E-CAFE-A3ED63D75D47}"/>
              </a:ext>
            </a:extLst>
          </xdr:cNvPr>
          <xdr:cNvSpPr txBox="1"/>
        </xdr:nvSpPr>
        <xdr:spPr>
          <a:xfrm>
            <a:off x="2497265" y="1744474"/>
            <a:ext cx="2623457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Avalaible</a:t>
            </a:r>
            <a:r>
              <a:rPr lang="en-ID" sz="1100" baseline="0"/>
              <a:t> Time </a:t>
            </a:r>
            <a:endParaRPr lang="en-ID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EE21E6E-CB8C-4FC6-90CF-2D7E8A8CE2CA}"/>
              </a:ext>
            </a:extLst>
          </xdr:cNvPr>
          <xdr:cNvSpPr txBox="1"/>
        </xdr:nvSpPr>
        <xdr:spPr>
          <a:xfrm>
            <a:off x="5131968" y="1578822"/>
            <a:ext cx="692023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x 100%</a:t>
            </a:r>
          </a:p>
        </xdr:txBody>
      </xdr:sp>
      <xdr:sp macro="" textlink="">
        <xdr:nvSpPr>
          <xdr:cNvPr id="8" name="Arc 7">
            <a:extLst>
              <a:ext uri="{FF2B5EF4-FFF2-40B4-BE49-F238E27FC236}">
                <a16:creationId xmlns:a16="http://schemas.microsoft.com/office/drawing/2014/main" id="{009A1D49-E3F0-6E02-9B8A-AE189D1788C7}"/>
              </a:ext>
            </a:extLst>
          </xdr:cNvPr>
          <xdr:cNvSpPr/>
        </xdr:nvSpPr>
        <xdr:spPr>
          <a:xfrm rot="13171558">
            <a:off x="2450339" y="1390650"/>
            <a:ext cx="580492" cy="592083"/>
          </a:xfrm>
          <a:prstGeom prst="arc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9" name="Arc 8">
            <a:extLst>
              <a:ext uri="{FF2B5EF4-FFF2-40B4-BE49-F238E27FC236}">
                <a16:creationId xmlns:a16="http://schemas.microsoft.com/office/drawing/2014/main" id="{DEBF202F-992F-493E-1480-2DB772745960}"/>
              </a:ext>
            </a:extLst>
          </xdr:cNvPr>
          <xdr:cNvSpPr/>
        </xdr:nvSpPr>
        <xdr:spPr>
          <a:xfrm rot="8428442" flipH="1">
            <a:off x="4630089" y="1390650"/>
            <a:ext cx="637641" cy="592083"/>
          </a:xfrm>
          <a:prstGeom prst="arc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EBF78904-8504-3274-2D55-9136839DB6A0}"/>
              </a:ext>
            </a:extLst>
          </xdr:cNvPr>
          <xdr:cNvSpPr txBox="1"/>
        </xdr:nvSpPr>
        <xdr:spPr>
          <a:xfrm>
            <a:off x="809625" y="1498631"/>
            <a:ext cx="1519692" cy="4770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Availabilility</a:t>
            </a:r>
            <a:r>
              <a:rPr lang="en-ID" sz="1100" baseline="0"/>
              <a:t> (A)</a:t>
            </a:r>
            <a:endParaRPr lang="en-ID" sz="1100"/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54FB8FB5-0C76-4C73-D237-5DA8F2302C8B}"/>
              </a:ext>
            </a:extLst>
          </xdr:cNvPr>
          <xdr:cNvSpPr txBox="1"/>
        </xdr:nvSpPr>
        <xdr:spPr>
          <a:xfrm>
            <a:off x="2189982" y="1573176"/>
            <a:ext cx="222162" cy="2782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=</a:t>
            </a:r>
          </a:p>
        </xdr:txBody>
      </xdr:sp>
    </xdr:grpSp>
    <xdr:clientData/>
  </xdr:twoCellAnchor>
  <xdr:twoCellAnchor>
    <xdr:from>
      <xdr:col>2</xdr:col>
      <xdr:colOff>95250</xdr:colOff>
      <xdr:row>20</xdr:row>
      <xdr:rowOff>76200</xdr:rowOff>
    </xdr:from>
    <xdr:to>
      <xdr:col>13</xdr:col>
      <xdr:colOff>180975</xdr:colOff>
      <xdr:row>23</xdr:row>
      <xdr:rowOff>186715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20259021-0405-47D9-9222-9CB0BD622EED}"/>
            </a:ext>
          </a:extLst>
        </xdr:cNvPr>
        <xdr:cNvGrpSpPr/>
      </xdr:nvGrpSpPr>
      <xdr:grpSpPr>
        <a:xfrm>
          <a:off x="904875" y="3895725"/>
          <a:ext cx="5019675" cy="682015"/>
          <a:chOff x="809625" y="2933700"/>
          <a:chExt cx="5097981" cy="682015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DCCF91DF-CD1D-4BF8-AF28-291A57901966}"/>
              </a:ext>
            </a:extLst>
          </xdr:cNvPr>
          <xdr:cNvSpPr/>
        </xdr:nvSpPr>
        <xdr:spPr>
          <a:xfrm>
            <a:off x="873441" y="2965773"/>
            <a:ext cx="5034165" cy="649942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75F8E372-C1CC-05C5-CEC2-5C159EB792B8}"/>
              </a:ext>
            </a:extLst>
          </xdr:cNvPr>
          <xdr:cNvSpPr txBox="1"/>
        </xdr:nvSpPr>
        <xdr:spPr>
          <a:xfrm>
            <a:off x="809625" y="3149355"/>
            <a:ext cx="1214892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Performance (P)</a:t>
            </a: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9425AC81-9DCB-3F81-12EC-376FD1E16B86}"/>
              </a:ext>
            </a:extLst>
          </xdr:cNvPr>
          <xdr:cNvSpPr txBox="1"/>
        </xdr:nvSpPr>
        <xdr:spPr>
          <a:xfrm>
            <a:off x="2199918" y="2967138"/>
            <a:ext cx="3052082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Ideal Cycle</a:t>
            </a:r>
            <a:r>
              <a:rPr lang="en-ID" sz="1100" baseline="0"/>
              <a:t> Time x Actual Output Qty</a:t>
            </a:r>
            <a:endParaRPr lang="en-ID" sz="1100"/>
          </a:p>
        </xdr:txBody>
      </xdr:sp>
      <xdr:cxnSp macro="">
        <xdr:nvCxnSpPr>
          <xdr:cNvPr id="16" name="Straight Connector 15">
            <a:extLst>
              <a:ext uri="{FF2B5EF4-FFF2-40B4-BE49-F238E27FC236}">
                <a16:creationId xmlns:a16="http://schemas.microsoft.com/office/drawing/2014/main" id="{800FF173-CF0E-70AF-ED9F-9539939B4CFA}"/>
              </a:ext>
            </a:extLst>
          </xdr:cNvPr>
          <xdr:cNvCxnSpPr/>
        </xdr:nvCxnSpPr>
        <xdr:spPr>
          <a:xfrm>
            <a:off x="2313391" y="3262413"/>
            <a:ext cx="2833007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F4BD571-DAAE-08A2-F31E-CD7DD51B29C8}"/>
              </a:ext>
            </a:extLst>
          </xdr:cNvPr>
          <xdr:cNvSpPr txBox="1"/>
        </xdr:nvSpPr>
        <xdr:spPr>
          <a:xfrm>
            <a:off x="2217313" y="3287524"/>
            <a:ext cx="3052082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Operating Time</a:t>
            </a:r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32A32B01-6C49-7102-85EF-8BFF77E7C81C}"/>
              </a:ext>
            </a:extLst>
          </xdr:cNvPr>
          <xdr:cNvSpPr txBox="1"/>
        </xdr:nvSpPr>
        <xdr:spPr>
          <a:xfrm>
            <a:off x="5272358" y="3121872"/>
            <a:ext cx="634873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x 100%</a:t>
            </a:r>
          </a:p>
        </xdr:txBody>
      </xdr:sp>
      <xdr:sp macro="" textlink="">
        <xdr:nvSpPr>
          <xdr:cNvPr id="19" name="Arc 18">
            <a:extLst>
              <a:ext uri="{FF2B5EF4-FFF2-40B4-BE49-F238E27FC236}">
                <a16:creationId xmlns:a16="http://schemas.microsoft.com/office/drawing/2014/main" id="{813EC145-56AA-412B-3A39-30AC50B66AE4}"/>
              </a:ext>
            </a:extLst>
          </xdr:cNvPr>
          <xdr:cNvSpPr/>
        </xdr:nvSpPr>
        <xdr:spPr>
          <a:xfrm rot="13171558">
            <a:off x="2162104" y="2933700"/>
            <a:ext cx="580492" cy="592083"/>
          </a:xfrm>
          <a:prstGeom prst="arc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20" name="Arc 19">
            <a:extLst>
              <a:ext uri="{FF2B5EF4-FFF2-40B4-BE49-F238E27FC236}">
                <a16:creationId xmlns:a16="http://schemas.microsoft.com/office/drawing/2014/main" id="{BA97C506-00ED-9A1D-32B0-0B46458F96B7}"/>
              </a:ext>
            </a:extLst>
          </xdr:cNvPr>
          <xdr:cNvSpPr/>
        </xdr:nvSpPr>
        <xdr:spPr>
          <a:xfrm rot="8428442" flipH="1">
            <a:off x="4713329" y="2933700"/>
            <a:ext cx="637641" cy="592083"/>
          </a:xfrm>
          <a:prstGeom prst="arc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5F5E79AA-F575-0A02-E95B-4256CA7C9659}"/>
              </a:ext>
            </a:extLst>
          </xdr:cNvPr>
          <xdr:cNvSpPr txBox="1"/>
        </xdr:nvSpPr>
        <xdr:spPr>
          <a:xfrm>
            <a:off x="1901747" y="3141073"/>
            <a:ext cx="222162" cy="2782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=</a:t>
            </a:r>
          </a:p>
        </xdr:txBody>
      </xdr:sp>
    </xdr:grpSp>
    <xdr:clientData/>
  </xdr:twoCellAnchor>
  <xdr:twoCellAnchor>
    <xdr:from>
      <xdr:col>2</xdr:col>
      <xdr:colOff>171449</xdr:colOff>
      <xdr:row>28</xdr:row>
      <xdr:rowOff>56014</xdr:rowOff>
    </xdr:from>
    <xdr:to>
      <xdr:col>13</xdr:col>
      <xdr:colOff>180974</xdr:colOff>
      <xdr:row>31</xdr:row>
      <xdr:rowOff>146554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295A143D-5399-4BD1-AB44-B65B7D8A4834}"/>
            </a:ext>
          </a:extLst>
        </xdr:cNvPr>
        <xdr:cNvGrpSpPr/>
      </xdr:nvGrpSpPr>
      <xdr:grpSpPr>
        <a:xfrm>
          <a:off x="981074" y="5399539"/>
          <a:ext cx="4943475" cy="662040"/>
          <a:chOff x="809625" y="4599439"/>
          <a:chExt cx="4977015" cy="662040"/>
        </a:xfrm>
      </xdr:grpSpPr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947F3FB8-A282-A02F-B4E2-40B9D7FCE1BC}"/>
              </a:ext>
            </a:extLst>
          </xdr:cNvPr>
          <xdr:cNvSpPr/>
        </xdr:nvSpPr>
        <xdr:spPr>
          <a:xfrm>
            <a:off x="809625" y="4611537"/>
            <a:ext cx="4977015" cy="649942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A8E15608-4757-AA8F-8A55-84A63408B5C2}"/>
              </a:ext>
            </a:extLst>
          </xdr:cNvPr>
          <xdr:cNvSpPr txBox="1"/>
        </xdr:nvSpPr>
        <xdr:spPr>
          <a:xfrm>
            <a:off x="890326" y="4815094"/>
            <a:ext cx="1214892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Quality (Q)</a:t>
            </a: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888AE26-3223-1EBC-226E-1145DEA2D7B6}"/>
              </a:ext>
            </a:extLst>
          </xdr:cNvPr>
          <xdr:cNvSpPr txBox="1"/>
        </xdr:nvSpPr>
        <xdr:spPr>
          <a:xfrm>
            <a:off x="2160950" y="4632877"/>
            <a:ext cx="2994932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Actual Output</a:t>
            </a:r>
            <a:r>
              <a:rPr lang="en-ID" sz="1100" baseline="0"/>
              <a:t> Qty - Reject Qty</a:t>
            </a:r>
            <a:endParaRPr lang="en-ID" sz="1100"/>
          </a:p>
        </xdr:txBody>
      </xdr: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2BB9C4EE-5499-AE16-79B6-3E4817E1ED09}"/>
              </a:ext>
            </a:extLst>
          </xdr:cNvPr>
          <xdr:cNvCxnSpPr/>
        </xdr:nvCxnSpPr>
        <xdr:spPr>
          <a:xfrm>
            <a:off x="2249575" y="4928152"/>
            <a:ext cx="2833007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FD914F74-F9AB-F7CA-29B1-ED5EE7232AFF}"/>
              </a:ext>
            </a:extLst>
          </xdr:cNvPr>
          <xdr:cNvSpPr txBox="1"/>
        </xdr:nvSpPr>
        <xdr:spPr>
          <a:xfrm>
            <a:off x="2145214" y="4953263"/>
            <a:ext cx="2994932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Actual Output Qty</a:t>
            </a:r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7078F352-9EC8-246F-B04C-675640AFAD8D}"/>
              </a:ext>
            </a:extLst>
          </xdr:cNvPr>
          <xdr:cNvSpPr txBox="1"/>
        </xdr:nvSpPr>
        <xdr:spPr>
          <a:xfrm>
            <a:off x="5151392" y="4787611"/>
            <a:ext cx="634873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x 100%</a:t>
            </a:r>
          </a:p>
        </xdr:txBody>
      </xdr:sp>
      <xdr:sp macro="" textlink="">
        <xdr:nvSpPr>
          <xdr:cNvPr id="29" name="Arc 28">
            <a:extLst>
              <a:ext uri="{FF2B5EF4-FFF2-40B4-BE49-F238E27FC236}">
                <a16:creationId xmlns:a16="http://schemas.microsoft.com/office/drawing/2014/main" id="{5F59AF92-0155-AE87-B8A1-0623B848F5EE}"/>
              </a:ext>
            </a:extLst>
          </xdr:cNvPr>
          <xdr:cNvSpPr/>
        </xdr:nvSpPr>
        <xdr:spPr>
          <a:xfrm rot="13171558">
            <a:off x="2098288" y="4599439"/>
            <a:ext cx="580492" cy="592083"/>
          </a:xfrm>
          <a:prstGeom prst="arc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30" name="Arc 29">
            <a:extLst>
              <a:ext uri="{FF2B5EF4-FFF2-40B4-BE49-F238E27FC236}">
                <a16:creationId xmlns:a16="http://schemas.microsoft.com/office/drawing/2014/main" id="{4E4B89D8-A05B-F2F8-B7B1-4831881E9E77}"/>
              </a:ext>
            </a:extLst>
          </xdr:cNvPr>
          <xdr:cNvSpPr/>
        </xdr:nvSpPr>
        <xdr:spPr>
          <a:xfrm rot="8428442" flipH="1">
            <a:off x="4649513" y="4599439"/>
            <a:ext cx="580491" cy="592083"/>
          </a:xfrm>
          <a:prstGeom prst="arc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5E253BF-BD04-3AFD-64FB-F96ADD15FC65}"/>
              </a:ext>
            </a:extLst>
          </xdr:cNvPr>
          <xdr:cNvSpPr txBox="1"/>
        </xdr:nvSpPr>
        <xdr:spPr>
          <a:xfrm>
            <a:off x="1837931" y="4806812"/>
            <a:ext cx="222162" cy="2782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=</a:t>
            </a:r>
          </a:p>
        </xdr:txBody>
      </xdr:sp>
    </xdr:grpSp>
    <xdr:clientData/>
  </xdr:twoCellAnchor>
  <xdr:twoCellAnchor>
    <xdr:from>
      <xdr:col>1</xdr:col>
      <xdr:colOff>56029</xdr:colOff>
      <xdr:row>4</xdr:row>
      <xdr:rowOff>67235</xdr:rowOff>
    </xdr:from>
    <xdr:to>
      <xdr:col>13</xdr:col>
      <xdr:colOff>257735</xdr:colOff>
      <xdr:row>7</xdr:row>
      <xdr:rowOff>162484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4DDBFD7-6004-4E21-BE17-00AD8645CFF4}"/>
            </a:ext>
          </a:extLst>
        </xdr:cNvPr>
        <xdr:cNvSpPr txBox="1"/>
      </xdr:nvSpPr>
      <xdr:spPr>
        <a:xfrm>
          <a:off x="665629" y="838760"/>
          <a:ext cx="5335681" cy="666749"/>
        </a:xfrm>
        <a:prstGeom prst="rect">
          <a:avLst/>
        </a:prstGeom>
        <a:solidFill>
          <a:srgbClr val="00B0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D" sz="1050" b="1"/>
            <a:t>DPM OEE</a:t>
          </a:r>
          <a:r>
            <a:rPr lang="en-ID" sz="1050" b="1" baseline="0"/>
            <a:t> = A x P x Q x U :</a:t>
          </a:r>
        </a:p>
        <a:p>
          <a:pPr algn="l"/>
          <a:r>
            <a:rPr lang="en-ID" sz="1050" b="1" baseline="0"/>
            <a:t>Availability (Downtime : dandory, setup machine, others stop) x Performance (Line speed, SPM, Conveyor speed) x Quality (SME record) x Utilization (Palnning prod vs Capacity)</a:t>
          </a:r>
          <a:endParaRPr lang="en-ID" sz="1050" b="1"/>
        </a:p>
      </xdr:txBody>
    </xdr:sp>
    <xdr:clientData/>
  </xdr:twoCellAnchor>
  <xdr:twoCellAnchor>
    <xdr:from>
      <xdr:col>2</xdr:col>
      <xdr:colOff>171450</xdr:colOff>
      <xdr:row>36</xdr:row>
      <xdr:rowOff>0</xdr:rowOff>
    </xdr:from>
    <xdr:to>
      <xdr:col>13</xdr:col>
      <xdr:colOff>171450</xdr:colOff>
      <xdr:row>39</xdr:row>
      <xdr:rowOff>93931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EC67AFEF-7797-4345-A27A-5EB04627ED66}"/>
            </a:ext>
          </a:extLst>
        </xdr:cNvPr>
        <xdr:cNvGrpSpPr/>
      </xdr:nvGrpSpPr>
      <xdr:grpSpPr>
        <a:xfrm>
          <a:off x="981075" y="6867525"/>
          <a:ext cx="4933950" cy="665431"/>
          <a:chOff x="981075" y="6867525"/>
          <a:chExt cx="5124450" cy="665431"/>
        </a:xfrm>
      </xdr:grpSpPr>
      <xdr:grpSp>
        <xdr:nvGrpSpPr>
          <xdr:cNvPr id="34" name="Group 33">
            <a:extLst>
              <a:ext uri="{FF2B5EF4-FFF2-40B4-BE49-F238E27FC236}">
                <a16:creationId xmlns:a16="http://schemas.microsoft.com/office/drawing/2014/main" id="{72AF252C-B7C1-5366-B2E6-C5AFECFEFC2B}"/>
              </a:ext>
            </a:extLst>
          </xdr:cNvPr>
          <xdr:cNvGrpSpPr/>
        </xdr:nvGrpSpPr>
        <xdr:grpSpPr>
          <a:xfrm>
            <a:off x="981075" y="6867525"/>
            <a:ext cx="5124450" cy="665431"/>
            <a:chOff x="809625" y="6477000"/>
            <a:chExt cx="4977015" cy="665431"/>
          </a:xfrm>
        </xdr:grpSpPr>
        <xdr:sp macro="" textlink="">
          <xdr:nvSpPr>
            <xdr:cNvPr id="37" name="Rectangle 36">
              <a:extLst>
                <a:ext uri="{FF2B5EF4-FFF2-40B4-BE49-F238E27FC236}">
                  <a16:creationId xmlns:a16="http://schemas.microsoft.com/office/drawing/2014/main" id="{EBDD3A24-D788-4E45-C3AE-10D9F86A6907}"/>
                </a:ext>
              </a:extLst>
            </xdr:cNvPr>
            <xdr:cNvSpPr/>
          </xdr:nvSpPr>
          <xdr:spPr>
            <a:xfrm>
              <a:off x="809625" y="6477000"/>
              <a:ext cx="4977015" cy="649942"/>
            </a:xfrm>
            <a:prstGeom prst="rect">
              <a:avLst/>
            </a:prstGeom>
            <a:solidFill>
              <a:srgbClr val="FFFF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59D2B276-245F-5EB6-DB81-500A8FDF4762}"/>
                </a:ext>
              </a:extLst>
            </xdr:cNvPr>
            <xdr:cNvSpPr txBox="1"/>
          </xdr:nvSpPr>
          <xdr:spPr>
            <a:xfrm>
              <a:off x="818068" y="6724894"/>
              <a:ext cx="1214892" cy="257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D" sz="1100"/>
                <a:t>Utilization</a:t>
              </a:r>
              <a:r>
                <a:rPr lang="en-ID" sz="1100" baseline="0"/>
                <a:t> (U)</a:t>
              </a:r>
              <a:endParaRPr lang="en-ID" sz="1100"/>
            </a:p>
          </xdr:txBody>
        </xdr:sp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524CD043-A492-D9A9-F725-9CBF3AD0F652}"/>
                </a:ext>
              </a:extLst>
            </xdr:cNvPr>
            <xdr:cNvSpPr txBox="1"/>
          </xdr:nvSpPr>
          <xdr:spPr>
            <a:xfrm>
              <a:off x="3029157" y="6530770"/>
              <a:ext cx="1469082" cy="257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D" sz="1100"/>
                <a:t>Planning Production</a:t>
              </a:r>
            </a:p>
          </xdr:txBody>
        </xdr:sp>
        <xdr:cxnSp macro="">
          <xdr:nvCxnSpPr>
            <xdr:cNvPr id="40" name="Straight Connector 39">
              <a:extLst>
                <a:ext uri="{FF2B5EF4-FFF2-40B4-BE49-F238E27FC236}">
                  <a16:creationId xmlns:a16="http://schemas.microsoft.com/office/drawing/2014/main" id="{742083E7-C5F0-FA43-3E34-44E44ADAE3AD}"/>
                </a:ext>
              </a:extLst>
            </xdr:cNvPr>
            <xdr:cNvCxnSpPr/>
          </xdr:nvCxnSpPr>
          <xdr:spPr>
            <a:xfrm>
              <a:off x="2249575" y="6837952"/>
              <a:ext cx="2833007" cy="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A59FC93E-A80F-7177-9505-2FC87EED4EC5}"/>
                </a:ext>
              </a:extLst>
            </xdr:cNvPr>
            <xdr:cNvSpPr txBox="1"/>
          </xdr:nvSpPr>
          <xdr:spPr>
            <a:xfrm>
              <a:off x="5151392" y="6697411"/>
              <a:ext cx="634873" cy="257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D" sz="1100"/>
                <a:t>x 100%</a:t>
              </a:r>
            </a:p>
          </xdr:txBody>
        </xdr:sp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0C23550B-90C4-E5C0-0AA9-48A356B53FFA}"/>
                </a:ext>
              </a:extLst>
            </xdr:cNvPr>
            <xdr:cNvSpPr txBox="1"/>
          </xdr:nvSpPr>
          <xdr:spPr>
            <a:xfrm>
              <a:off x="1837931" y="6716612"/>
              <a:ext cx="222162" cy="27829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D" sz="1100"/>
                <a:t>=</a:t>
              </a:r>
            </a:p>
          </xdr:txBody>
        </xdr:sp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33E55E48-F049-B33A-8684-3DA4FFCE0C43}"/>
                </a:ext>
              </a:extLst>
            </xdr:cNvPr>
            <xdr:cNvSpPr txBox="1"/>
          </xdr:nvSpPr>
          <xdr:spPr>
            <a:xfrm>
              <a:off x="3380706" y="6885256"/>
              <a:ext cx="692538" cy="257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D" sz="1100"/>
                <a:t>Capacity </a:t>
              </a:r>
            </a:p>
          </xdr:txBody>
        </xdr:sp>
      </xdr:grpSp>
      <xdr:sp macro="" textlink="">
        <xdr:nvSpPr>
          <xdr:cNvPr id="35" name="Arc 34">
            <a:extLst>
              <a:ext uri="{FF2B5EF4-FFF2-40B4-BE49-F238E27FC236}">
                <a16:creationId xmlns:a16="http://schemas.microsoft.com/office/drawing/2014/main" id="{1D19CB44-AB7C-3A55-7736-FEC15ED4AC9E}"/>
              </a:ext>
            </a:extLst>
          </xdr:cNvPr>
          <xdr:cNvSpPr/>
        </xdr:nvSpPr>
        <xdr:spPr>
          <a:xfrm rot="13171558">
            <a:off x="2305050" y="6934200"/>
            <a:ext cx="598799" cy="592083"/>
          </a:xfrm>
          <a:prstGeom prst="arc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36" name="Arc 35">
            <a:extLst>
              <a:ext uri="{FF2B5EF4-FFF2-40B4-BE49-F238E27FC236}">
                <a16:creationId xmlns:a16="http://schemas.microsoft.com/office/drawing/2014/main" id="{3B73FC22-0D36-D128-121F-AB21F08D99BB}"/>
              </a:ext>
            </a:extLst>
          </xdr:cNvPr>
          <xdr:cNvSpPr/>
        </xdr:nvSpPr>
        <xdr:spPr>
          <a:xfrm rot="8428442" flipH="1">
            <a:off x="4936732" y="6934200"/>
            <a:ext cx="598798" cy="592083"/>
          </a:xfrm>
          <a:prstGeom prst="arc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</xdr:grpSp>
    <xdr:clientData/>
  </xdr:twoCellAnchor>
  <xdr:twoCellAnchor>
    <xdr:from>
      <xdr:col>2</xdr:col>
      <xdr:colOff>123825</xdr:colOff>
      <xdr:row>55</xdr:row>
      <xdr:rowOff>143741</xdr:rowOff>
    </xdr:from>
    <xdr:to>
      <xdr:col>13</xdr:col>
      <xdr:colOff>176041</xdr:colOff>
      <xdr:row>59</xdr:row>
      <xdr:rowOff>69603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79D1AE65-A6BC-447E-9881-3A2CF00AF393}"/>
            </a:ext>
          </a:extLst>
        </xdr:cNvPr>
        <xdr:cNvGrpSpPr/>
      </xdr:nvGrpSpPr>
      <xdr:grpSpPr>
        <a:xfrm>
          <a:off x="933450" y="10640291"/>
          <a:ext cx="4986166" cy="687862"/>
          <a:chOff x="809625" y="1390650"/>
          <a:chExt cx="5014741" cy="687862"/>
        </a:xfrm>
      </xdr:grpSpPr>
      <xdr:sp macro="" textlink="">
        <xdr:nvSpPr>
          <xdr:cNvPr id="45" name="Rectangle 44">
            <a:extLst>
              <a:ext uri="{FF2B5EF4-FFF2-40B4-BE49-F238E27FC236}">
                <a16:creationId xmlns:a16="http://schemas.microsoft.com/office/drawing/2014/main" id="{34487767-0629-3148-8D72-CAE40297948B}"/>
              </a:ext>
            </a:extLst>
          </xdr:cNvPr>
          <xdr:cNvSpPr/>
        </xdr:nvSpPr>
        <xdr:spPr>
          <a:xfrm>
            <a:off x="856876" y="1428570"/>
            <a:ext cx="4967490" cy="649942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E8075FA9-BE38-32DF-88AE-EE39F0A833CD}"/>
              </a:ext>
            </a:extLst>
          </xdr:cNvPr>
          <xdr:cNvSpPr txBox="1"/>
        </xdr:nvSpPr>
        <xdr:spPr>
          <a:xfrm>
            <a:off x="2461712" y="1400313"/>
            <a:ext cx="2811663" cy="2971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Operating Time</a:t>
            </a:r>
            <a:endParaRPr lang="en-ID" sz="1100"/>
          </a:p>
        </xdr:txBody>
      </xdr:sp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6EA6DC78-CB71-EE4B-4A26-5006C5739D39}"/>
              </a:ext>
            </a:extLst>
          </xdr:cNvPr>
          <xdr:cNvCxnSpPr/>
        </xdr:nvCxnSpPr>
        <xdr:spPr>
          <a:xfrm>
            <a:off x="2601626" y="1719363"/>
            <a:ext cx="2461532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2F46C08B-0252-0966-5370-D3286251806E}"/>
              </a:ext>
            </a:extLst>
          </xdr:cNvPr>
          <xdr:cNvSpPr txBox="1"/>
        </xdr:nvSpPr>
        <xdr:spPr>
          <a:xfrm>
            <a:off x="2497265" y="1744474"/>
            <a:ext cx="2623457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Avalaible</a:t>
            </a:r>
            <a:r>
              <a:rPr lang="en-ID" sz="1100" baseline="0"/>
              <a:t> Time </a:t>
            </a:r>
            <a:endParaRPr lang="en-ID" sz="1100"/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073F06E1-67C8-7DFD-470E-7CADBFD0E7D2}"/>
              </a:ext>
            </a:extLst>
          </xdr:cNvPr>
          <xdr:cNvSpPr txBox="1"/>
        </xdr:nvSpPr>
        <xdr:spPr>
          <a:xfrm>
            <a:off x="5131968" y="1578822"/>
            <a:ext cx="692023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x 100%</a:t>
            </a:r>
          </a:p>
        </xdr:txBody>
      </xdr:sp>
      <xdr:sp macro="" textlink="">
        <xdr:nvSpPr>
          <xdr:cNvPr id="50" name="Arc 49">
            <a:extLst>
              <a:ext uri="{FF2B5EF4-FFF2-40B4-BE49-F238E27FC236}">
                <a16:creationId xmlns:a16="http://schemas.microsoft.com/office/drawing/2014/main" id="{0EB30048-8F01-CCE7-1E0A-82F069FD5FFE}"/>
              </a:ext>
            </a:extLst>
          </xdr:cNvPr>
          <xdr:cNvSpPr/>
        </xdr:nvSpPr>
        <xdr:spPr>
          <a:xfrm rot="13171558">
            <a:off x="2450339" y="1390650"/>
            <a:ext cx="580492" cy="592083"/>
          </a:xfrm>
          <a:prstGeom prst="arc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51" name="Arc 50">
            <a:extLst>
              <a:ext uri="{FF2B5EF4-FFF2-40B4-BE49-F238E27FC236}">
                <a16:creationId xmlns:a16="http://schemas.microsoft.com/office/drawing/2014/main" id="{C9E7C62E-5C4A-247B-04A6-A09CDC9CEB7E}"/>
              </a:ext>
            </a:extLst>
          </xdr:cNvPr>
          <xdr:cNvSpPr/>
        </xdr:nvSpPr>
        <xdr:spPr>
          <a:xfrm rot="8428442" flipH="1">
            <a:off x="4630089" y="1390650"/>
            <a:ext cx="637641" cy="592083"/>
          </a:xfrm>
          <a:prstGeom prst="arc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224E3E32-A17C-7B31-8FF1-832F1A1B6618}"/>
              </a:ext>
            </a:extLst>
          </xdr:cNvPr>
          <xdr:cNvSpPr txBox="1"/>
        </xdr:nvSpPr>
        <xdr:spPr>
          <a:xfrm>
            <a:off x="809625" y="1498631"/>
            <a:ext cx="1519692" cy="4770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Availabilility</a:t>
            </a:r>
            <a:r>
              <a:rPr lang="en-ID" sz="1100" baseline="0"/>
              <a:t> (A)</a:t>
            </a:r>
            <a:endParaRPr lang="en-ID" sz="1100"/>
          </a:p>
        </xdr:txBody>
      </xdr: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6EB3DC80-EB77-9F57-CA36-37C421B2FFAD}"/>
              </a:ext>
            </a:extLst>
          </xdr:cNvPr>
          <xdr:cNvSpPr txBox="1"/>
        </xdr:nvSpPr>
        <xdr:spPr>
          <a:xfrm>
            <a:off x="2189982" y="1573176"/>
            <a:ext cx="222162" cy="2782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=</a:t>
            </a:r>
          </a:p>
        </xdr:txBody>
      </xdr:sp>
    </xdr:grpSp>
    <xdr:clientData/>
  </xdr:twoCellAnchor>
  <xdr:twoCellAnchor>
    <xdr:from>
      <xdr:col>2</xdr:col>
      <xdr:colOff>95250</xdr:colOff>
      <xdr:row>63</xdr:row>
      <xdr:rowOff>162791</xdr:rowOff>
    </xdr:from>
    <xdr:to>
      <xdr:col>13</xdr:col>
      <xdr:colOff>180975</xdr:colOff>
      <xdr:row>67</xdr:row>
      <xdr:rowOff>82806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D393602B-1FC1-4571-92F0-A71C01F8816B}"/>
            </a:ext>
          </a:extLst>
        </xdr:cNvPr>
        <xdr:cNvGrpSpPr/>
      </xdr:nvGrpSpPr>
      <xdr:grpSpPr>
        <a:xfrm>
          <a:off x="904875" y="12183341"/>
          <a:ext cx="5019675" cy="682015"/>
          <a:chOff x="809625" y="2933700"/>
          <a:chExt cx="5097981" cy="682015"/>
        </a:xfrm>
      </xdr:grpSpPr>
      <xdr:sp macro="" textlink="">
        <xdr:nvSpPr>
          <xdr:cNvPr id="55" name="Rectangle 54">
            <a:extLst>
              <a:ext uri="{FF2B5EF4-FFF2-40B4-BE49-F238E27FC236}">
                <a16:creationId xmlns:a16="http://schemas.microsoft.com/office/drawing/2014/main" id="{0521144B-6645-0DFB-D855-44CBAEA84DCE}"/>
              </a:ext>
            </a:extLst>
          </xdr:cNvPr>
          <xdr:cNvSpPr/>
        </xdr:nvSpPr>
        <xdr:spPr>
          <a:xfrm>
            <a:off x="873441" y="2965773"/>
            <a:ext cx="5034165" cy="649942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0A417F75-75B1-2646-B5C9-3BD0CD9E80A2}"/>
              </a:ext>
            </a:extLst>
          </xdr:cNvPr>
          <xdr:cNvSpPr txBox="1"/>
        </xdr:nvSpPr>
        <xdr:spPr>
          <a:xfrm>
            <a:off x="809625" y="3149355"/>
            <a:ext cx="1214892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Performance (P)</a:t>
            </a:r>
          </a:p>
        </xdr:txBody>
      </xdr:sp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93831A1E-67AE-AF02-7906-6301359A33D6}"/>
              </a:ext>
            </a:extLst>
          </xdr:cNvPr>
          <xdr:cNvSpPr txBox="1"/>
        </xdr:nvSpPr>
        <xdr:spPr>
          <a:xfrm>
            <a:off x="2199918" y="2967138"/>
            <a:ext cx="3052082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Ideal Cycle</a:t>
            </a:r>
            <a:r>
              <a:rPr lang="en-ID" sz="1100" baseline="0"/>
              <a:t> Time x Actual Output Qty</a:t>
            </a:r>
            <a:endParaRPr lang="en-ID" sz="1100"/>
          </a:p>
        </xdr:txBody>
      </xdr: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BDCAA4CA-628A-EC93-C887-A7B6E7C6F54F}"/>
              </a:ext>
            </a:extLst>
          </xdr:cNvPr>
          <xdr:cNvCxnSpPr/>
        </xdr:nvCxnSpPr>
        <xdr:spPr>
          <a:xfrm>
            <a:off x="2313391" y="3262413"/>
            <a:ext cx="2833007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E952A1C2-5F39-1732-2E36-3F7DF10937A3}"/>
              </a:ext>
            </a:extLst>
          </xdr:cNvPr>
          <xdr:cNvSpPr txBox="1"/>
        </xdr:nvSpPr>
        <xdr:spPr>
          <a:xfrm>
            <a:off x="2217313" y="3287524"/>
            <a:ext cx="3052082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Operating Time</a:t>
            </a:r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11A53648-487A-C2CF-98A8-4C8C17075A64}"/>
              </a:ext>
            </a:extLst>
          </xdr:cNvPr>
          <xdr:cNvSpPr txBox="1"/>
        </xdr:nvSpPr>
        <xdr:spPr>
          <a:xfrm>
            <a:off x="5272358" y="3121872"/>
            <a:ext cx="634873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x 100%</a:t>
            </a:r>
          </a:p>
        </xdr:txBody>
      </xdr:sp>
      <xdr:sp macro="" textlink="">
        <xdr:nvSpPr>
          <xdr:cNvPr id="61" name="Arc 60">
            <a:extLst>
              <a:ext uri="{FF2B5EF4-FFF2-40B4-BE49-F238E27FC236}">
                <a16:creationId xmlns:a16="http://schemas.microsoft.com/office/drawing/2014/main" id="{FAB511FA-71A1-1B5A-9E3E-934201B61B32}"/>
              </a:ext>
            </a:extLst>
          </xdr:cNvPr>
          <xdr:cNvSpPr/>
        </xdr:nvSpPr>
        <xdr:spPr>
          <a:xfrm rot="13171558">
            <a:off x="2162104" y="2933700"/>
            <a:ext cx="580492" cy="592083"/>
          </a:xfrm>
          <a:prstGeom prst="arc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62" name="Arc 61">
            <a:extLst>
              <a:ext uri="{FF2B5EF4-FFF2-40B4-BE49-F238E27FC236}">
                <a16:creationId xmlns:a16="http://schemas.microsoft.com/office/drawing/2014/main" id="{746F78AB-4F2F-3A3B-6012-84AB3BDEAE54}"/>
              </a:ext>
            </a:extLst>
          </xdr:cNvPr>
          <xdr:cNvSpPr/>
        </xdr:nvSpPr>
        <xdr:spPr>
          <a:xfrm rot="8428442" flipH="1">
            <a:off x="4713329" y="2933700"/>
            <a:ext cx="637641" cy="592083"/>
          </a:xfrm>
          <a:prstGeom prst="arc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F3B95DA6-DD17-7D9C-8A1C-4DAF87A006D7}"/>
              </a:ext>
            </a:extLst>
          </xdr:cNvPr>
          <xdr:cNvSpPr txBox="1"/>
        </xdr:nvSpPr>
        <xdr:spPr>
          <a:xfrm>
            <a:off x="1901747" y="3141073"/>
            <a:ext cx="222162" cy="2782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=</a:t>
            </a:r>
          </a:p>
        </xdr:txBody>
      </xdr:sp>
    </xdr:grpSp>
    <xdr:clientData/>
  </xdr:twoCellAnchor>
  <xdr:twoCellAnchor>
    <xdr:from>
      <xdr:col>2</xdr:col>
      <xdr:colOff>171449</xdr:colOff>
      <xdr:row>71</xdr:row>
      <xdr:rowOff>142605</xdr:rowOff>
    </xdr:from>
    <xdr:to>
      <xdr:col>13</xdr:col>
      <xdr:colOff>180974</xdr:colOff>
      <xdr:row>75</xdr:row>
      <xdr:rowOff>42645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919BA75E-7B57-432F-ADBD-6134373927ED}"/>
            </a:ext>
          </a:extLst>
        </xdr:cNvPr>
        <xdr:cNvGrpSpPr/>
      </xdr:nvGrpSpPr>
      <xdr:grpSpPr>
        <a:xfrm>
          <a:off x="981074" y="13687155"/>
          <a:ext cx="4943475" cy="662040"/>
          <a:chOff x="809625" y="4599439"/>
          <a:chExt cx="4977015" cy="662040"/>
        </a:xfrm>
      </xdr:grpSpPr>
      <xdr:sp macro="" textlink="">
        <xdr:nvSpPr>
          <xdr:cNvPr id="65" name="Rectangle 64">
            <a:extLst>
              <a:ext uri="{FF2B5EF4-FFF2-40B4-BE49-F238E27FC236}">
                <a16:creationId xmlns:a16="http://schemas.microsoft.com/office/drawing/2014/main" id="{5E95E150-B130-69ED-95CF-673BD130BAC5}"/>
              </a:ext>
            </a:extLst>
          </xdr:cNvPr>
          <xdr:cNvSpPr/>
        </xdr:nvSpPr>
        <xdr:spPr>
          <a:xfrm>
            <a:off x="809625" y="4611537"/>
            <a:ext cx="4977015" cy="649942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AD50515A-A183-1515-233E-EBF6C7EB87D1}"/>
              </a:ext>
            </a:extLst>
          </xdr:cNvPr>
          <xdr:cNvSpPr txBox="1"/>
        </xdr:nvSpPr>
        <xdr:spPr>
          <a:xfrm>
            <a:off x="890326" y="4815094"/>
            <a:ext cx="1214892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Quality (Q)</a:t>
            </a:r>
          </a:p>
        </xdr:txBody>
      </xdr:sp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43015479-830E-99BA-CF7A-BCB635A9873E}"/>
              </a:ext>
            </a:extLst>
          </xdr:cNvPr>
          <xdr:cNvSpPr txBox="1"/>
        </xdr:nvSpPr>
        <xdr:spPr>
          <a:xfrm>
            <a:off x="2160950" y="4632877"/>
            <a:ext cx="2994932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Actual Output</a:t>
            </a:r>
            <a:r>
              <a:rPr lang="en-ID" sz="1100" baseline="0"/>
              <a:t> Qty - Reject Qty</a:t>
            </a:r>
            <a:endParaRPr lang="en-ID" sz="1100"/>
          </a:p>
        </xdr:txBody>
      </xdr:sp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E10FF439-B821-3091-2E06-31A30409D5A9}"/>
              </a:ext>
            </a:extLst>
          </xdr:cNvPr>
          <xdr:cNvCxnSpPr/>
        </xdr:nvCxnSpPr>
        <xdr:spPr>
          <a:xfrm>
            <a:off x="2249575" y="4928152"/>
            <a:ext cx="2833007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F6E5A983-8AB9-D6D6-83A5-B9C59C93F948}"/>
              </a:ext>
            </a:extLst>
          </xdr:cNvPr>
          <xdr:cNvSpPr txBox="1"/>
        </xdr:nvSpPr>
        <xdr:spPr>
          <a:xfrm>
            <a:off x="2145214" y="4953263"/>
            <a:ext cx="2994932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Actual Output Qty</a:t>
            </a:r>
          </a:p>
        </xdr:txBody>
      </xdr:sp>
      <xdr:sp macro="" textlink="">
        <xdr:nvSpPr>
          <xdr:cNvPr id="70" name="TextBox 69">
            <a:extLst>
              <a:ext uri="{FF2B5EF4-FFF2-40B4-BE49-F238E27FC236}">
                <a16:creationId xmlns:a16="http://schemas.microsoft.com/office/drawing/2014/main" id="{BC83099B-B096-A8EC-645F-137628B72AAC}"/>
              </a:ext>
            </a:extLst>
          </xdr:cNvPr>
          <xdr:cNvSpPr txBox="1"/>
        </xdr:nvSpPr>
        <xdr:spPr>
          <a:xfrm>
            <a:off x="5151392" y="4787611"/>
            <a:ext cx="634873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x 100%</a:t>
            </a:r>
          </a:p>
        </xdr:txBody>
      </xdr:sp>
      <xdr:sp macro="" textlink="">
        <xdr:nvSpPr>
          <xdr:cNvPr id="71" name="Arc 70">
            <a:extLst>
              <a:ext uri="{FF2B5EF4-FFF2-40B4-BE49-F238E27FC236}">
                <a16:creationId xmlns:a16="http://schemas.microsoft.com/office/drawing/2014/main" id="{6929A238-FEE2-D668-6FBE-F7E5E1AE64F2}"/>
              </a:ext>
            </a:extLst>
          </xdr:cNvPr>
          <xdr:cNvSpPr/>
        </xdr:nvSpPr>
        <xdr:spPr>
          <a:xfrm rot="13171558">
            <a:off x="2098288" y="4599439"/>
            <a:ext cx="580492" cy="592083"/>
          </a:xfrm>
          <a:prstGeom prst="arc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72" name="Arc 71">
            <a:extLst>
              <a:ext uri="{FF2B5EF4-FFF2-40B4-BE49-F238E27FC236}">
                <a16:creationId xmlns:a16="http://schemas.microsoft.com/office/drawing/2014/main" id="{C41FD2B2-A449-33BD-E197-1BDCFF814F9C}"/>
              </a:ext>
            </a:extLst>
          </xdr:cNvPr>
          <xdr:cNvSpPr/>
        </xdr:nvSpPr>
        <xdr:spPr>
          <a:xfrm rot="8428442" flipH="1">
            <a:off x="4649513" y="4599439"/>
            <a:ext cx="580491" cy="592083"/>
          </a:xfrm>
          <a:prstGeom prst="arc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73" name="TextBox 72">
            <a:extLst>
              <a:ext uri="{FF2B5EF4-FFF2-40B4-BE49-F238E27FC236}">
                <a16:creationId xmlns:a16="http://schemas.microsoft.com/office/drawing/2014/main" id="{BF590338-5B38-B6A9-3CFE-6E3B13D6A598}"/>
              </a:ext>
            </a:extLst>
          </xdr:cNvPr>
          <xdr:cNvSpPr txBox="1"/>
        </xdr:nvSpPr>
        <xdr:spPr>
          <a:xfrm>
            <a:off x="1837931" y="4806812"/>
            <a:ext cx="222162" cy="2782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=</a:t>
            </a:r>
          </a:p>
        </xdr:txBody>
      </xdr:sp>
    </xdr:grpSp>
    <xdr:clientData/>
  </xdr:twoCellAnchor>
  <xdr:twoCellAnchor>
    <xdr:from>
      <xdr:col>2</xdr:col>
      <xdr:colOff>171450</xdr:colOff>
      <xdr:row>79</xdr:row>
      <xdr:rowOff>86591</xdr:rowOff>
    </xdr:from>
    <xdr:to>
      <xdr:col>13</xdr:col>
      <xdr:colOff>171450</xdr:colOff>
      <xdr:row>82</xdr:row>
      <xdr:rowOff>180522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4322A21A-41A2-46D8-A353-0CD3B267AE4D}"/>
            </a:ext>
          </a:extLst>
        </xdr:cNvPr>
        <xdr:cNvGrpSpPr/>
      </xdr:nvGrpSpPr>
      <xdr:grpSpPr>
        <a:xfrm>
          <a:off x="981075" y="15155141"/>
          <a:ext cx="4933950" cy="665431"/>
          <a:chOff x="981075" y="6867525"/>
          <a:chExt cx="5124450" cy="665431"/>
        </a:xfrm>
      </xdr:grpSpPr>
      <xdr:grpSp>
        <xdr:nvGrpSpPr>
          <xdr:cNvPr id="75" name="Group 74">
            <a:extLst>
              <a:ext uri="{FF2B5EF4-FFF2-40B4-BE49-F238E27FC236}">
                <a16:creationId xmlns:a16="http://schemas.microsoft.com/office/drawing/2014/main" id="{59F2E731-96A8-865C-499E-450C5B5671EC}"/>
              </a:ext>
            </a:extLst>
          </xdr:cNvPr>
          <xdr:cNvGrpSpPr/>
        </xdr:nvGrpSpPr>
        <xdr:grpSpPr>
          <a:xfrm>
            <a:off x="981075" y="6867525"/>
            <a:ext cx="5124450" cy="665431"/>
            <a:chOff x="809625" y="6477000"/>
            <a:chExt cx="4977015" cy="665431"/>
          </a:xfrm>
        </xdr:grpSpPr>
        <xdr:sp macro="" textlink="">
          <xdr:nvSpPr>
            <xdr:cNvPr id="78" name="Rectangle 77">
              <a:extLst>
                <a:ext uri="{FF2B5EF4-FFF2-40B4-BE49-F238E27FC236}">
                  <a16:creationId xmlns:a16="http://schemas.microsoft.com/office/drawing/2014/main" id="{B8DE3DB4-2865-2A15-8065-D74908646276}"/>
                </a:ext>
              </a:extLst>
            </xdr:cNvPr>
            <xdr:cNvSpPr/>
          </xdr:nvSpPr>
          <xdr:spPr>
            <a:xfrm>
              <a:off x="809625" y="6477000"/>
              <a:ext cx="4977015" cy="649942"/>
            </a:xfrm>
            <a:prstGeom prst="rect">
              <a:avLst/>
            </a:prstGeom>
            <a:solidFill>
              <a:srgbClr val="FFFF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7B2456DE-6046-8325-A20E-A921DDE9FC45}"/>
                </a:ext>
              </a:extLst>
            </xdr:cNvPr>
            <xdr:cNvSpPr txBox="1"/>
          </xdr:nvSpPr>
          <xdr:spPr>
            <a:xfrm>
              <a:off x="818068" y="6724894"/>
              <a:ext cx="1214892" cy="257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D" sz="1100"/>
                <a:t>Utilization</a:t>
              </a:r>
              <a:r>
                <a:rPr lang="en-ID" sz="1100" baseline="0"/>
                <a:t> (U)</a:t>
              </a:r>
              <a:endParaRPr lang="en-ID" sz="1100"/>
            </a:p>
          </xdr:txBody>
        </xdr:sp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8D5E4BAC-6E06-ED07-65D4-4CF228A59BCC}"/>
                </a:ext>
              </a:extLst>
            </xdr:cNvPr>
            <xdr:cNvSpPr txBox="1"/>
          </xdr:nvSpPr>
          <xdr:spPr>
            <a:xfrm>
              <a:off x="3029157" y="6530770"/>
              <a:ext cx="1469082" cy="257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D" sz="1100"/>
                <a:t>Planning Production</a:t>
              </a:r>
            </a:p>
          </xdr:txBody>
        </xdr:sp>
        <xdr:cxnSp macro="">
          <xdr:nvCxnSpPr>
            <xdr:cNvPr id="81" name="Straight Connector 80">
              <a:extLst>
                <a:ext uri="{FF2B5EF4-FFF2-40B4-BE49-F238E27FC236}">
                  <a16:creationId xmlns:a16="http://schemas.microsoft.com/office/drawing/2014/main" id="{B687F6DD-6495-1E68-8720-A76DCFABF998}"/>
                </a:ext>
              </a:extLst>
            </xdr:cNvPr>
            <xdr:cNvCxnSpPr/>
          </xdr:nvCxnSpPr>
          <xdr:spPr>
            <a:xfrm>
              <a:off x="2249575" y="6837952"/>
              <a:ext cx="2833007" cy="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148C58DD-45E5-F671-34D3-69F76568F22A}"/>
                </a:ext>
              </a:extLst>
            </xdr:cNvPr>
            <xdr:cNvSpPr txBox="1"/>
          </xdr:nvSpPr>
          <xdr:spPr>
            <a:xfrm>
              <a:off x="5151392" y="6697411"/>
              <a:ext cx="634873" cy="257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D" sz="1100"/>
                <a:t>x 100%</a:t>
              </a:r>
            </a:p>
          </xdr:txBody>
        </xdr:sp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91A1A1BD-8DE8-9029-30A3-99C12CCD368E}"/>
                </a:ext>
              </a:extLst>
            </xdr:cNvPr>
            <xdr:cNvSpPr txBox="1"/>
          </xdr:nvSpPr>
          <xdr:spPr>
            <a:xfrm>
              <a:off x="1837931" y="6716612"/>
              <a:ext cx="222162" cy="27829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D" sz="1100"/>
                <a:t>=</a:t>
              </a:r>
            </a:p>
          </xdr:txBody>
        </xdr:sp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660D5667-6253-CCEA-15F3-71CEB7A2F1A5}"/>
                </a:ext>
              </a:extLst>
            </xdr:cNvPr>
            <xdr:cNvSpPr txBox="1"/>
          </xdr:nvSpPr>
          <xdr:spPr>
            <a:xfrm>
              <a:off x="3380706" y="6885256"/>
              <a:ext cx="692538" cy="257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D" sz="1100"/>
                <a:t>Capacity </a:t>
              </a:r>
            </a:p>
          </xdr:txBody>
        </xdr:sp>
      </xdr:grpSp>
      <xdr:sp macro="" textlink="">
        <xdr:nvSpPr>
          <xdr:cNvPr id="76" name="Arc 75">
            <a:extLst>
              <a:ext uri="{FF2B5EF4-FFF2-40B4-BE49-F238E27FC236}">
                <a16:creationId xmlns:a16="http://schemas.microsoft.com/office/drawing/2014/main" id="{3B778BA8-4A92-9396-AD26-3525F4FAA2EE}"/>
              </a:ext>
            </a:extLst>
          </xdr:cNvPr>
          <xdr:cNvSpPr/>
        </xdr:nvSpPr>
        <xdr:spPr>
          <a:xfrm rot="13171558">
            <a:off x="2305050" y="6934200"/>
            <a:ext cx="598799" cy="592083"/>
          </a:xfrm>
          <a:prstGeom prst="arc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77" name="Arc 76">
            <a:extLst>
              <a:ext uri="{FF2B5EF4-FFF2-40B4-BE49-F238E27FC236}">
                <a16:creationId xmlns:a16="http://schemas.microsoft.com/office/drawing/2014/main" id="{1B761369-EDF5-A8D3-FE39-AEC9BF167D16}"/>
              </a:ext>
            </a:extLst>
          </xdr:cNvPr>
          <xdr:cNvSpPr/>
        </xdr:nvSpPr>
        <xdr:spPr>
          <a:xfrm rot="8428442" flipH="1">
            <a:off x="4936732" y="6934200"/>
            <a:ext cx="598798" cy="592083"/>
          </a:xfrm>
          <a:prstGeom prst="arc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</xdr:grpSp>
    <xdr:clientData/>
  </xdr:twoCellAnchor>
  <xdr:twoCellAnchor>
    <xdr:from>
      <xdr:col>2</xdr:col>
      <xdr:colOff>123825</xdr:colOff>
      <xdr:row>98</xdr:row>
      <xdr:rowOff>178377</xdr:rowOff>
    </xdr:from>
    <xdr:to>
      <xdr:col>13</xdr:col>
      <xdr:colOff>176041</xdr:colOff>
      <xdr:row>102</xdr:row>
      <xdr:rowOff>104239</xdr:rowOff>
    </xdr:to>
    <xdr:grpSp>
      <xdr:nvGrpSpPr>
        <xdr:cNvPr id="85" name="Group 84">
          <a:extLst>
            <a:ext uri="{FF2B5EF4-FFF2-40B4-BE49-F238E27FC236}">
              <a16:creationId xmlns:a16="http://schemas.microsoft.com/office/drawing/2014/main" id="{A72112BB-2707-416F-B37C-7BEEABB84454}"/>
            </a:ext>
          </a:extLst>
        </xdr:cNvPr>
        <xdr:cNvGrpSpPr/>
      </xdr:nvGrpSpPr>
      <xdr:grpSpPr>
        <a:xfrm>
          <a:off x="933450" y="18875952"/>
          <a:ext cx="4986166" cy="687862"/>
          <a:chOff x="809625" y="1390650"/>
          <a:chExt cx="5014741" cy="687862"/>
        </a:xfrm>
      </xdr:grpSpPr>
      <xdr:sp macro="" textlink="">
        <xdr:nvSpPr>
          <xdr:cNvPr id="86" name="Rectangle 85">
            <a:extLst>
              <a:ext uri="{FF2B5EF4-FFF2-40B4-BE49-F238E27FC236}">
                <a16:creationId xmlns:a16="http://schemas.microsoft.com/office/drawing/2014/main" id="{CDAD943A-F5EB-DA44-392F-BEBD74DDE667}"/>
              </a:ext>
            </a:extLst>
          </xdr:cNvPr>
          <xdr:cNvSpPr/>
        </xdr:nvSpPr>
        <xdr:spPr>
          <a:xfrm>
            <a:off x="856876" y="1428570"/>
            <a:ext cx="4967490" cy="649942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927FFD0E-A608-FEE1-880A-B9258FFD2B40}"/>
              </a:ext>
            </a:extLst>
          </xdr:cNvPr>
          <xdr:cNvSpPr txBox="1"/>
        </xdr:nvSpPr>
        <xdr:spPr>
          <a:xfrm>
            <a:off x="2461712" y="1400313"/>
            <a:ext cx="2811663" cy="2971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Operating Time</a:t>
            </a:r>
            <a:endParaRPr lang="en-ID" sz="1100"/>
          </a:p>
        </xdr:txBody>
      </xdr:sp>
      <xdr:cxnSp macro="">
        <xdr:nvCxnSpPr>
          <xdr:cNvPr id="88" name="Straight Connector 87">
            <a:extLst>
              <a:ext uri="{FF2B5EF4-FFF2-40B4-BE49-F238E27FC236}">
                <a16:creationId xmlns:a16="http://schemas.microsoft.com/office/drawing/2014/main" id="{7429EA6F-8C08-AF16-DF94-4E4483F9CA6D}"/>
              </a:ext>
            </a:extLst>
          </xdr:cNvPr>
          <xdr:cNvCxnSpPr/>
        </xdr:nvCxnSpPr>
        <xdr:spPr>
          <a:xfrm>
            <a:off x="2601626" y="1719363"/>
            <a:ext cx="2461532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9" name="TextBox 88">
            <a:extLst>
              <a:ext uri="{FF2B5EF4-FFF2-40B4-BE49-F238E27FC236}">
                <a16:creationId xmlns:a16="http://schemas.microsoft.com/office/drawing/2014/main" id="{5A381414-D466-615E-CD8C-5E0EABFBA7AB}"/>
              </a:ext>
            </a:extLst>
          </xdr:cNvPr>
          <xdr:cNvSpPr txBox="1"/>
        </xdr:nvSpPr>
        <xdr:spPr>
          <a:xfrm>
            <a:off x="2497265" y="1744474"/>
            <a:ext cx="2623457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Avalaible</a:t>
            </a:r>
            <a:r>
              <a:rPr lang="en-ID" sz="1100" baseline="0"/>
              <a:t> Time </a:t>
            </a:r>
            <a:endParaRPr lang="en-ID" sz="1100"/>
          </a:p>
        </xdr:txBody>
      </xdr:sp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AC1F2EEB-FA60-7927-4B0E-457A5E7717E3}"/>
              </a:ext>
            </a:extLst>
          </xdr:cNvPr>
          <xdr:cNvSpPr txBox="1"/>
        </xdr:nvSpPr>
        <xdr:spPr>
          <a:xfrm>
            <a:off x="5131968" y="1578822"/>
            <a:ext cx="692023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x 100%</a:t>
            </a:r>
          </a:p>
        </xdr:txBody>
      </xdr:sp>
      <xdr:sp macro="" textlink="">
        <xdr:nvSpPr>
          <xdr:cNvPr id="91" name="Arc 90">
            <a:extLst>
              <a:ext uri="{FF2B5EF4-FFF2-40B4-BE49-F238E27FC236}">
                <a16:creationId xmlns:a16="http://schemas.microsoft.com/office/drawing/2014/main" id="{A91C9203-4C43-D64F-068F-703B76645291}"/>
              </a:ext>
            </a:extLst>
          </xdr:cNvPr>
          <xdr:cNvSpPr/>
        </xdr:nvSpPr>
        <xdr:spPr>
          <a:xfrm rot="13171558">
            <a:off x="2450339" y="1390650"/>
            <a:ext cx="580492" cy="592083"/>
          </a:xfrm>
          <a:prstGeom prst="arc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92" name="Arc 91">
            <a:extLst>
              <a:ext uri="{FF2B5EF4-FFF2-40B4-BE49-F238E27FC236}">
                <a16:creationId xmlns:a16="http://schemas.microsoft.com/office/drawing/2014/main" id="{84D54122-1547-DD17-28D8-705052055CBD}"/>
              </a:ext>
            </a:extLst>
          </xdr:cNvPr>
          <xdr:cNvSpPr/>
        </xdr:nvSpPr>
        <xdr:spPr>
          <a:xfrm rot="8428442" flipH="1">
            <a:off x="4630089" y="1390650"/>
            <a:ext cx="637641" cy="592083"/>
          </a:xfrm>
          <a:prstGeom prst="arc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8BBA0C88-FE47-D338-7EF6-BF039D8BD850}"/>
              </a:ext>
            </a:extLst>
          </xdr:cNvPr>
          <xdr:cNvSpPr txBox="1"/>
        </xdr:nvSpPr>
        <xdr:spPr>
          <a:xfrm>
            <a:off x="809625" y="1498631"/>
            <a:ext cx="1519692" cy="4770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Availabilility</a:t>
            </a:r>
            <a:r>
              <a:rPr lang="en-ID" sz="1100" baseline="0"/>
              <a:t> (A)</a:t>
            </a:r>
            <a:endParaRPr lang="en-ID" sz="1100"/>
          </a:p>
        </xdr:txBody>
      </xdr:sp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A63C2133-2C9E-6550-170D-FFFB57BEC00F}"/>
              </a:ext>
            </a:extLst>
          </xdr:cNvPr>
          <xdr:cNvSpPr txBox="1"/>
        </xdr:nvSpPr>
        <xdr:spPr>
          <a:xfrm>
            <a:off x="2189982" y="1573176"/>
            <a:ext cx="222162" cy="2782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=</a:t>
            </a:r>
          </a:p>
        </xdr:txBody>
      </xdr:sp>
    </xdr:grpSp>
    <xdr:clientData/>
  </xdr:twoCellAnchor>
  <xdr:twoCellAnchor>
    <xdr:from>
      <xdr:col>2</xdr:col>
      <xdr:colOff>95250</xdr:colOff>
      <xdr:row>107</xdr:row>
      <xdr:rowOff>6927</xdr:rowOff>
    </xdr:from>
    <xdr:to>
      <xdr:col>13</xdr:col>
      <xdr:colOff>180975</xdr:colOff>
      <xdr:row>110</xdr:row>
      <xdr:rowOff>117442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019580AA-6145-41C1-BBA1-F9856761AA91}"/>
            </a:ext>
          </a:extLst>
        </xdr:cNvPr>
        <xdr:cNvGrpSpPr/>
      </xdr:nvGrpSpPr>
      <xdr:grpSpPr>
        <a:xfrm>
          <a:off x="904875" y="20419002"/>
          <a:ext cx="5019675" cy="682015"/>
          <a:chOff x="809625" y="2933700"/>
          <a:chExt cx="5097981" cy="682015"/>
        </a:xfrm>
      </xdr:grpSpPr>
      <xdr:sp macro="" textlink="">
        <xdr:nvSpPr>
          <xdr:cNvPr id="96" name="Rectangle 95">
            <a:extLst>
              <a:ext uri="{FF2B5EF4-FFF2-40B4-BE49-F238E27FC236}">
                <a16:creationId xmlns:a16="http://schemas.microsoft.com/office/drawing/2014/main" id="{9D4DB694-7937-5192-95F0-F79C2ABD152F}"/>
              </a:ext>
            </a:extLst>
          </xdr:cNvPr>
          <xdr:cNvSpPr/>
        </xdr:nvSpPr>
        <xdr:spPr>
          <a:xfrm>
            <a:off x="873441" y="2965773"/>
            <a:ext cx="5034165" cy="649942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52E46D45-AA52-4A3E-28A3-3F841062DDF5}"/>
              </a:ext>
            </a:extLst>
          </xdr:cNvPr>
          <xdr:cNvSpPr txBox="1"/>
        </xdr:nvSpPr>
        <xdr:spPr>
          <a:xfrm>
            <a:off x="809625" y="3149355"/>
            <a:ext cx="1214892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Performance (P)</a:t>
            </a:r>
          </a:p>
        </xdr:txBody>
      </xdr:sp>
      <xdr:sp macro="" textlink="">
        <xdr:nvSpPr>
          <xdr:cNvPr id="98" name="TextBox 97">
            <a:extLst>
              <a:ext uri="{FF2B5EF4-FFF2-40B4-BE49-F238E27FC236}">
                <a16:creationId xmlns:a16="http://schemas.microsoft.com/office/drawing/2014/main" id="{E50E1CCC-DE3D-249A-1EB8-4F59E104E7A7}"/>
              </a:ext>
            </a:extLst>
          </xdr:cNvPr>
          <xdr:cNvSpPr txBox="1"/>
        </xdr:nvSpPr>
        <xdr:spPr>
          <a:xfrm>
            <a:off x="2199918" y="2967138"/>
            <a:ext cx="3052082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Ideal Cycle</a:t>
            </a:r>
            <a:r>
              <a:rPr lang="en-ID" sz="1100" baseline="0"/>
              <a:t> Time x Actual Output Qty</a:t>
            </a:r>
            <a:endParaRPr lang="en-ID" sz="1100"/>
          </a:p>
        </xdr:txBody>
      </xdr:sp>
      <xdr:cxnSp macro="">
        <xdr:nvCxnSpPr>
          <xdr:cNvPr id="99" name="Straight Connector 98">
            <a:extLst>
              <a:ext uri="{FF2B5EF4-FFF2-40B4-BE49-F238E27FC236}">
                <a16:creationId xmlns:a16="http://schemas.microsoft.com/office/drawing/2014/main" id="{B42A6BD8-61EB-B6A9-DC81-73AC72BF2493}"/>
              </a:ext>
            </a:extLst>
          </xdr:cNvPr>
          <xdr:cNvCxnSpPr/>
        </xdr:nvCxnSpPr>
        <xdr:spPr>
          <a:xfrm>
            <a:off x="2313391" y="3262413"/>
            <a:ext cx="2833007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0" name="TextBox 99">
            <a:extLst>
              <a:ext uri="{FF2B5EF4-FFF2-40B4-BE49-F238E27FC236}">
                <a16:creationId xmlns:a16="http://schemas.microsoft.com/office/drawing/2014/main" id="{09E45780-1B1A-8953-4454-B43C0E137C85}"/>
              </a:ext>
            </a:extLst>
          </xdr:cNvPr>
          <xdr:cNvSpPr txBox="1"/>
        </xdr:nvSpPr>
        <xdr:spPr>
          <a:xfrm>
            <a:off x="2217313" y="3287524"/>
            <a:ext cx="3052082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Operating Time</a:t>
            </a:r>
          </a:p>
        </xdr:txBody>
      </xdr:sp>
      <xdr:sp macro="" textlink="">
        <xdr:nvSpPr>
          <xdr:cNvPr id="101" name="TextBox 100">
            <a:extLst>
              <a:ext uri="{FF2B5EF4-FFF2-40B4-BE49-F238E27FC236}">
                <a16:creationId xmlns:a16="http://schemas.microsoft.com/office/drawing/2014/main" id="{6B30A736-75F3-A610-DD50-0B47D1497B63}"/>
              </a:ext>
            </a:extLst>
          </xdr:cNvPr>
          <xdr:cNvSpPr txBox="1"/>
        </xdr:nvSpPr>
        <xdr:spPr>
          <a:xfrm>
            <a:off x="5272358" y="3121872"/>
            <a:ext cx="634873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x 100%</a:t>
            </a:r>
          </a:p>
        </xdr:txBody>
      </xdr:sp>
      <xdr:sp macro="" textlink="">
        <xdr:nvSpPr>
          <xdr:cNvPr id="102" name="Arc 101">
            <a:extLst>
              <a:ext uri="{FF2B5EF4-FFF2-40B4-BE49-F238E27FC236}">
                <a16:creationId xmlns:a16="http://schemas.microsoft.com/office/drawing/2014/main" id="{ED36B3F8-6690-ED8C-6585-768F831A5C9A}"/>
              </a:ext>
            </a:extLst>
          </xdr:cNvPr>
          <xdr:cNvSpPr/>
        </xdr:nvSpPr>
        <xdr:spPr>
          <a:xfrm rot="13171558">
            <a:off x="2162104" y="2933700"/>
            <a:ext cx="580492" cy="592083"/>
          </a:xfrm>
          <a:prstGeom prst="arc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103" name="Arc 102">
            <a:extLst>
              <a:ext uri="{FF2B5EF4-FFF2-40B4-BE49-F238E27FC236}">
                <a16:creationId xmlns:a16="http://schemas.microsoft.com/office/drawing/2014/main" id="{7CCC4A30-099F-EC77-3DAB-6BD82027D5B2}"/>
              </a:ext>
            </a:extLst>
          </xdr:cNvPr>
          <xdr:cNvSpPr/>
        </xdr:nvSpPr>
        <xdr:spPr>
          <a:xfrm rot="8428442" flipH="1">
            <a:off x="4713329" y="2933700"/>
            <a:ext cx="637641" cy="592083"/>
          </a:xfrm>
          <a:prstGeom prst="arc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104" name="TextBox 103">
            <a:extLst>
              <a:ext uri="{FF2B5EF4-FFF2-40B4-BE49-F238E27FC236}">
                <a16:creationId xmlns:a16="http://schemas.microsoft.com/office/drawing/2014/main" id="{6F39AFBC-94BB-BE49-4A75-C8DB4F6EA521}"/>
              </a:ext>
            </a:extLst>
          </xdr:cNvPr>
          <xdr:cNvSpPr txBox="1"/>
        </xdr:nvSpPr>
        <xdr:spPr>
          <a:xfrm>
            <a:off x="1901747" y="3141073"/>
            <a:ext cx="222162" cy="2782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=</a:t>
            </a:r>
          </a:p>
        </xdr:txBody>
      </xdr:sp>
    </xdr:grpSp>
    <xdr:clientData/>
  </xdr:twoCellAnchor>
  <xdr:twoCellAnchor>
    <xdr:from>
      <xdr:col>2</xdr:col>
      <xdr:colOff>171449</xdr:colOff>
      <xdr:row>114</xdr:row>
      <xdr:rowOff>177241</xdr:rowOff>
    </xdr:from>
    <xdr:to>
      <xdr:col>13</xdr:col>
      <xdr:colOff>180974</xdr:colOff>
      <xdr:row>118</xdr:row>
      <xdr:rowOff>77281</xdr:rowOff>
    </xdr:to>
    <xdr:grpSp>
      <xdr:nvGrpSpPr>
        <xdr:cNvPr id="105" name="Group 104">
          <a:extLst>
            <a:ext uri="{FF2B5EF4-FFF2-40B4-BE49-F238E27FC236}">
              <a16:creationId xmlns:a16="http://schemas.microsoft.com/office/drawing/2014/main" id="{7F17E71C-782A-4AF1-8DEB-B030495E4684}"/>
            </a:ext>
          </a:extLst>
        </xdr:cNvPr>
        <xdr:cNvGrpSpPr/>
      </xdr:nvGrpSpPr>
      <xdr:grpSpPr>
        <a:xfrm>
          <a:off x="981074" y="21922816"/>
          <a:ext cx="4943475" cy="662040"/>
          <a:chOff x="809625" y="4599439"/>
          <a:chExt cx="4977015" cy="662040"/>
        </a:xfrm>
      </xdr:grpSpPr>
      <xdr:sp macro="" textlink="">
        <xdr:nvSpPr>
          <xdr:cNvPr id="106" name="Rectangle 105">
            <a:extLst>
              <a:ext uri="{FF2B5EF4-FFF2-40B4-BE49-F238E27FC236}">
                <a16:creationId xmlns:a16="http://schemas.microsoft.com/office/drawing/2014/main" id="{6171DC85-AA6B-B3FF-DF15-A67AC7283264}"/>
              </a:ext>
            </a:extLst>
          </xdr:cNvPr>
          <xdr:cNvSpPr/>
        </xdr:nvSpPr>
        <xdr:spPr>
          <a:xfrm>
            <a:off x="809625" y="4611537"/>
            <a:ext cx="4977015" cy="649942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107" name="TextBox 106">
            <a:extLst>
              <a:ext uri="{FF2B5EF4-FFF2-40B4-BE49-F238E27FC236}">
                <a16:creationId xmlns:a16="http://schemas.microsoft.com/office/drawing/2014/main" id="{B5D38794-6F02-B6EC-615B-2147424C7FFC}"/>
              </a:ext>
            </a:extLst>
          </xdr:cNvPr>
          <xdr:cNvSpPr txBox="1"/>
        </xdr:nvSpPr>
        <xdr:spPr>
          <a:xfrm>
            <a:off x="890326" y="4815094"/>
            <a:ext cx="1214892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Quality (Q)</a:t>
            </a:r>
          </a:p>
        </xdr:txBody>
      </xdr:sp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A002AD1F-BB46-F411-53DA-81D8AC63365F}"/>
              </a:ext>
            </a:extLst>
          </xdr:cNvPr>
          <xdr:cNvSpPr txBox="1"/>
        </xdr:nvSpPr>
        <xdr:spPr>
          <a:xfrm>
            <a:off x="2160950" y="4632877"/>
            <a:ext cx="2994932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Actual Output</a:t>
            </a:r>
            <a:r>
              <a:rPr lang="en-ID" sz="1100" baseline="0"/>
              <a:t> Qty - Reject Qty</a:t>
            </a:r>
            <a:endParaRPr lang="en-ID" sz="1100"/>
          </a:p>
        </xdr:txBody>
      </xdr:sp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502CA8D8-B7D2-FC4B-18A5-345D28A81731}"/>
              </a:ext>
            </a:extLst>
          </xdr:cNvPr>
          <xdr:cNvCxnSpPr/>
        </xdr:nvCxnSpPr>
        <xdr:spPr>
          <a:xfrm>
            <a:off x="2249575" y="4928152"/>
            <a:ext cx="2833007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0" name="TextBox 109">
            <a:extLst>
              <a:ext uri="{FF2B5EF4-FFF2-40B4-BE49-F238E27FC236}">
                <a16:creationId xmlns:a16="http://schemas.microsoft.com/office/drawing/2014/main" id="{2BFF180D-9F65-DC07-8B4A-2C3B1F73BAB9}"/>
              </a:ext>
            </a:extLst>
          </xdr:cNvPr>
          <xdr:cNvSpPr txBox="1"/>
        </xdr:nvSpPr>
        <xdr:spPr>
          <a:xfrm>
            <a:off x="2145214" y="4953263"/>
            <a:ext cx="2994932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Actual Output Qty</a:t>
            </a:r>
          </a:p>
        </xdr:txBody>
      </xdr:sp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36E303CA-5E4A-0D36-7423-E7C290C24F86}"/>
              </a:ext>
            </a:extLst>
          </xdr:cNvPr>
          <xdr:cNvSpPr txBox="1"/>
        </xdr:nvSpPr>
        <xdr:spPr>
          <a:xfrm>
            <a:off x="5151392" y="4787611"/>
            <a:ext cx="634873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x 100%</a:t>
            </a:r>
          </a:p>
        </xdr:txBody>
      </xdr:sp>
      <xdr:sp macro="" textlink="">
        <xdr:nvSpPr>
          <xdr:cNvPr id="112" name="Arc 111">
            <a:extLst>
              <a:ext uri="{FF2B5EF4-FFF2-40B4-BE49-F238E27FC236}">
                <a16:creationId xmlns:a16="http://schemas.microsoft.com/office/drawing/2014/main" id="{83AAFCB8-27ED-0C11-66A0-BFC1A06DBF22}"/>
              </a:ext>
            </a:extLst>
          </xdr:cNvPr>
          <xdr:cNvSpPr/>
        </xdr:nvSpPr>
        <xdr:spPr>
          <a:xfrm rot="13171558">
            <a:off x="2098288" y="4599439"/>
            <a:ext cx="580492" cy="592083"/>
          </a:xfrm>
          <a:prstGeom prst="arc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113" name="Arc 112">
            <a:extLst>
              <a:ext uri="{FF2B5EF4-FFF2-40B4-BE49-F238E27FC236}">
                <a16:creationId xmlns:a16="http://schemas.microsoft.com/office/drawing/2014/main" id="{B2C56802-C233-9A7C-35B7-FFE24D456B64}"/>
              </a:ext>
            </a:extLst>
          </xdr:cNvPr>
          <xdr:cNvSpPr/>
        </xdr:nvSpPr>
        <xdr:spPr>
          <a:xfrm rot="8428442" flipH="1">
            <a:off x="4649513" y="4599439"/>
            <a:ext cx="580491" cy="592083"/>
          </a:xfrm>
          <a:prstGeom prst="arc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652D6641-B7E2-BF6D-5CAA-1ABB035FC8CF}"/>
              </a:ext>
            </a:extLst>
          </xdr:cNvPr>
          <xdr:cNvSpPr txBox="1"/>
        </xdr:nvSpPr>
        <xdr:spPr>
          <a:xfrm>
            <a:off x="1837931" y="4806812"/>
            <a:ext cx="222162" cy="2782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100"/>
              <a:t>=</a:t>
            </a:r>
          </a:p>
        </xdr:txBody>
      </xdr:sp>
    </xdr:grpSp>
    <xdr:clientData/>
  </xdr:twoCellAnchor>
  <xdr:twoCellAnchor>
    <xdr:from>
      <xdr:col>2</xdr:col>
      <xdr:colOff>171450</xdr:colOff>
      <xdr:row>122</xdr:row>
      <xdr:rowOff>121227</xdr:rowOff>
    </xdr:from>
    <xdr:to>
      <xdr:col>13</xdr:col>
      <xdr:colOff>171450</xdr:colOff>
      <xdr:row>126</xdr:row>
      <xdr:rowOff>24658</xdr:rowOff>
    </xdr:to>
    <xdr:grpSp>
      <xdr:nvGrpSpPr>
        <xdr:cNvPr id="115" name="Group 114">
          <a:extLst>
            <a:ext uri="{FF2B5EF4-FFF2-40B4-BE49-F238E27FC236}">
              <a16:creationId xmlns:a16="http://schemas.microsoft.com/office/drawing/2014/main" id="{B4261A5C-2468-4B3C-80A9-6E16C96EA001}"/>
            </a:ext>
          </a:extLst>
        </xdr:cNvPr>
        <xdr:cNvGrpSpPr/>
      </xdr:nvGrpSpPr>
      <xdr:grpSpPr>
        <a:xfrm>
          <a:off x="981075" y="23390802"/>
          <a:ext cx="4933950" cy="665431"/>
          <a:chOff x="981075" y="6867525"/>
          <a:chExt cx="5124450" cy="665431"/>
        </a:xfrm>
      </xdr:grpSpPr>
      <xdr:grpSp>
        <xdr:nvGrpSpPr>
          <xdr:cNvPr id="116" name="Group 115">
            <a:extLst>
              <a:ext uri="{FF2B5EF4-FFF2-40B4-BE49-F238E27FC236}">
                <a16:creationId xmlns:a16="http://schemas.microsoft.com/office/drawing/2014/main" id="{40FBF572-A367-3521-3EE5-1AEFA746CD80}"/>
              </a:ext>
            </a:extLst>
          </xdr:cNvPr>
          <xdr:cNvGrpSpPr/>
        </xdr:nvGrpSpPr>
        <xdr:grpSpPr>
          <a:xfrm>
            <a:off x="981075" y="6867525"/>
            <a:ext cx="5124450" cy="665431"/>
            <a:chOff x="809625" y="6477000"/>
            <a:chExt cx="4977015" cy="665431"/>
          </a:xfrm>
        </xdr:grpSpPr>
        <xdr:sp macro="" textlink="">
          <xdr:nvSpPr>
            <xdr:cNvPr id="119" name="Rectangle 118">
              <a:extLst>
                <a:ext uri="{FF2B5EF4-FFF2-40B4-BE49-F238E27FC236}">
                  <a16:creationId xmlns:a16="http://schemas.microsoft.com/office/drawing/2014/main" id="{F656F2BC-6172-90E8-719A-AB174FC90588}"/>
                </a:ext>
              </a:extLst>
            </xdr:cNvPr>
            <xdr:cNvSpPr/>
          </xdr:nvSpPr>
          <xdr:spPr>
            <a:xfrm>
              <a:off x="809625" y="6477000"/>
              <a:ext cx="4977015" cy="649942"/>
            </a:xfrm>
            <a:prstGeom prst="rect">
              <a:avLst/>
            </a:prstGeom>
            <a:solidFill>
              <a:srgbClr val="FFFF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327D7F5D-900A-0295-D67B-5840FC18D95D}"/>
                </a:ext>
              </a:extLst>
            </xdr:cNvPr>
            <xdr:cNvSpPr txBox="1"/>
          </xdr:nvSpPr>
          <xdr:spPr>
            <a:xfrm>
              <a:off x="818068" y="6724894"/>
              <a:ext cx="1214892" cy="257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D" sz="1100"/>
                <a:t>Utilization</a:t>
              </a:r>
              <a:r>
                <a:rPr lang="en-ID" sz="1100" baseline="0"/>
                <a:t> (U)</a:t>
              </a:r>
              <a:endParaRPr lang="en-ID" sz="1100"/>
            </a:p>
          </xdr:txBody>
        </xdr:sp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1DAA114B-C834-7AC6-2514-B63175FC0BB0}"/>
                </a:ext>
              </a:extLst>
            </xdr:cNvPr>
            <xdr:cNvSpPr txBox="1"/>
          </xdr:nvSpPr>
          <xdr:spPr>
            <a:xfrm>
              <a:off x="3029157" y="6530770"/>
              <a:ext cx="1469082" cy="257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D" sz="1100"/>
                <a:t>Planning Production</a:t>
              </a:r>
            </a:p>
          </xdr:txBody>
        </xdr:sp>
        <xdr:cxnSp macro="">
          <xdr:nvCxnSpPr>
            <xdr:cNvPr id="122" name="Straight Connector 121">
              <a:extLst>
                <a:ext uri="{FF2B5EF4-FFF2-40B4-BE49-F238E27FC236}">
                  <a16:creationId xmlns:a16="http://schemas.microsoft.com/office/drawing/2014/main" id="{F377432D-D210-FFE2-8938-F89D8C160F0B}"/>
                </a:ext>
              </a:extLst>
            </xdr:cNvPr>
            <xdr:cNvCxnSpPr/>
          </xdr:nvCxnSpPr>
          <xdr:spPr>
            <a:xfrm>
              <a:off x="2249575" y="6837952"/>
              <a:ext cx="2833007" cy="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9DA042CB-31D3-1528-E263-00555DBBD54D}"/>
                </a:ext>
              </a:extLst>
            </xdr:cNvPr>
            <xdr:cNvSpPr txBox="1"/>
          </xdr:nvSpPr>
          <xdr:spPr>
            <a:xfrm>
              <a:off x="5151392" y="6697411"/>
              <a:ext cx="634873" cy="257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D" sz="1100"/>
                <a:t>x 100%</a:t>
              </a:r>
            </a:p>
          </xdr:txBody>
        </xdr:sp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A62FDC73-6CED-AD5D-F8B3-096D448A8635}"/>
                </a:ext>
              </a:extLst>
            </xdr:cNvPr>
            <xdr:cNvSpPr txBox="1"/>
          </xdr:nvSpPr>
          <xdr:spPr>
            <a:xfrm>
              <a:off x="1837931" y="6716612"/>
              <a:ext cx="222162" cy="27829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D" sz="1100"/>
                <a:t>=</a:t>
              </a:r>
            </a:p>
          </xdr:txBody>
        </xdr:sp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C1B386F9-F160-51B6-2D8B-221132574FC1}"/>
                </a:ext>
              </a:extLst>
            </xdr:cNvPr>
            <xdr:cNvSpPr txBox="1"/>
          </xdr:nvSpPr>
          <xdr:spPr>
            <a:xfrm>
              <a:off x="3380706" y="6885256"/>
              <a:ext cx="692538" cy="257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D" sz="1100"/>
                <a:t>Capacity </a:t>
              </a:r>
            </a:p>
          </xdr:txBody>
        </xdr:sp>
      </xdr:grpSp>
      <xdr:sp macro="" textlink="">
        <xdr:nvSpPr>
          <xdr:cNvPr id="117" name="Arc 116">
            <a:extLst>
              <a:ext uri="{FF2B5EF4-FFF2-40B4-BE49-F238E27FC236}">
                <a16:creationId xmlns:a16="http://schemas.microsoft.com/office/drawing/2014/main" id="{1381E84A-6945-453A-2B52-9BB105F7C4BF}"/>
              </a:ext>
            </a:extLst>
          </xdr:cNvPr>
          <xdr:cNvSpPr/>
        </xdr:nvSpPr>
        <xdr:spPr>
          <a:xfrm rot="13171558">
            <a:off x="2305050" y="6934200"/>
            <a:ext cx="598799" cy="592083"/>
          </a:xfrm>
          <a:prstGeom prst="arc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118" name="Arc 117">
            <a:extLst>
              <a:ext uri="{FF2B5EF4-FFF2-40B4-BE49-F238E27FC236}">
                <a16:creationId xmlns:a16="http://schemas.microsoft.com/office/drawing/2014/main" id="{96EBE7A6-191A-F4E4-AE48-86B29E939E3A}"/>
              </a:ext>
            </a:extLst>
          </xdr:cNvPr>
          <xdr:cNvSpPr/>
        </xdr:nvSpPr>
        <xdr:spPr>
          <a:xfrm rot="8428442" flipH="1">
            <a:off x="4936732" y="6934200"/>
            <a:ext cx="598798" cy="592083"/>
          </a:xfrm>
          <a:prstGeom prst="arc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0A26-0C0C-4935-8252-175A47BD3428}">
  <dimension ref="A1:A26"/>
  <sheetViews>
    <sheetView tabSelected="1" topLeftCell="A2" zoomScale="130" zoomScaleNormal="130" workbookViewId="0">
      <selection activeCell="H20" sqref="H20"/>
    </sheetView>
  </sheetViews>
  <sheetFormatPr defaultRowHeight="15"/>
  <cols>
    <col min="1" max="1" width="18.85546875" style="2" bestFit="1" customWidth="1"/>
    <col min="2" max="16384" width="9.140625" style="2"/>
  </cols>
  <sheetData>
    <row r="1" spans="1:1">
      <c r="A1" s="1" t="s">
        <v>0</v>
      </c>
    </row>
    <row r="2" spans="1:1" ht="8.25" customHeight="1">
      <c r="A2" s="1"/>
    </row>
    <row r="3" spans="1:1">
      <c r="A3" s="1"/>
    </row>
    <row r="4" spans="1:1">
      <c r="A4" s="1"/>
    </row>
    <row r="5" spans="1:1">
      <c r="A5" s="1"/>
    </row>
    <row r="6" spans="1:1">
      <c r="A6" s="1"/>
    </row>
    <row r="7" spans="1:1" ht="33" customHeight="1">
      <c r="A7" s="1"/>
    </row>
    <row r="8" spans="1:1">
      <c r="A8" s="1" t="s">
        <v>1</v>
      </c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 ht="27" customHeight="1">
      <c r="A13" s="1"/>
    </row>
    <row r="14" spans="1:1" ht="27" customHeight="1">
      <c r="A14" s="1"/>
    </row>
    <row r="15" spans="1:1" ht="27" customHeight="1">
      <c r="A15" s="1"/>
    </row>
    <row r="16" spans="1:1">
      <c r="A16" s="1" t="s">
        <v>2</v>
      </c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 ht="30" customHeight="1">
      <c r="A21" s="1"/>
    </row>
    <row r="22" spans="1:1">
      <c r="A22" s="1" t="s">
        <v>3</v>
      </c>
    </row>
    <row r="26" spans="1:1" ht="23.25" customHeight="1"/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DECE9-ADDA-4B7A-AD57-27EE8118ECD3}">
  <dimension ref="B3:U133"/>
  <sheetViews>
    <sheetView showGridLines="0" zoomScale="145" zoomScaleNormal="145" workbookViewId="0">
      <selection activeCell="E19" sqref="E19:G19"/>
    </sheetView>
  </sheetViews>
  <sheetFormatPr defaultRowHeight="15"/>
  <cols>
    <col min="2" max="2" width="3" customWidth="1"/>
    <col min="3" max="3" width="8.85546875" customWidth="1"/>
    <col min="4" max="4" width="4.42578125" bestFit="1" customWidth="1"/>
    <col min="5" max="5" width="9.42578125" bestFit="1" customWidth="1"/>
    <col min="6" max="6" width="2" bestFit="1" customWidth="1"/>
    <col min="7" max="7" width="4.85546875" bestFit="1" customWidth="1"/>
    <col min="8" max="8" width="2.140625" bestFit="1" customWidth="1"/>
    <col min="9" max="9" width="10.5703125" bestFit="1" customWidth="1"/>
    <col min="10" max="10" width="4.42578125" bestFit="1" customWidth="1"/>
    <col min="11" max="11" width="8" bestFit="1" customWidth="1"/>
    <col min="12" max="12" width="2" bestFit="1" customWidth="1"/>
    <col min="13" max="13" width="17.28515625" customWidth="1"/>
    <col min="14" max="14" width="4.42578125" bestFit="1" customWidth="1"/>
  </cols>
  <sheetData>
    <row r="3" spans="2:14" ht="15.75">
      <c r="B3" s="7" t="s">
        <v>4</v>
      </c>
    </row>
    <row r="4" spans="2:14">
      <c r="C4" t="s">
        <v>5</v>
      </c>
      <c r="D4">
        <v>455</v>
      </c>
      <c r="E4" t="s">
        <v>6</v>
      </c>
    </row>
    <row r="9" spans="2:14">
      <c r="B9" t="s">
        <v>7</v>
      </c>
      <c r="C9" t="s">
        <v>8</v>
      </c>
    </row>
    <row r="10" spans="2:14">
      <c r="C10" t="s">
        <v>9</v>
      </c>
      <c r="D10" s="8">
        <v>119</v>
      </c>
      <c r="E10" t="s">
        <v>10</v>
      </c>
      <c r="I10" s="9" t="s">
        <v>11</v>
      </c>
      <c r="J10">
        <v>300</v>
      </c>
      <c r="K10" t="s">
        <v>10</v>
      </c>
      <c r="L10" s="12" t="s">
        <v>12</v>
      </c>
      <c r="M10" s="12"/>
      <c r="N10">
        <f>ROUND($D$4*60/D10*90%,0)</f>
        <v>206</v>
      </c>
    </row>
    <row r="11" spans="2:14">
      <c r="D11" s="8"/>
      <c r="I11" t="s">
        <v>13</v>
      </c>
      <c r="J11">
        <f>ROUND(N10*100%,0)</f>
        <v>206</v>
      </c>
      <c r="K11" t="s">
        <v>14</v>
      </c>
      <c r="L11" s="12" t="s">
        <v>15</v>
      </c>
      <c r="M11" s="12"/>
      <c r="N11">
        <f>ROUND(N10*15%,0)</f>
        <v>31</v>
      </c>
    </row>
    <row r="12" spans="2:14">
      <c r="D12" s="8"/>
    </row>
    <row r="18" spans="3:9">
      <c r="C18" s="13" t="s">
        <v>16</v>
      </c>
      <c r="D18" s="13"/>
      <c r="E18" s="14">
        <f>ROUND(455-(J10/60),0)</f>
        <v>450</v>
      </c>
      <c r="F18" s="14"/>
      <c r="G18" s="14"/>
      <c r="H18" s="15" t="s">
        <v>17</v>
      </c>
      <c r="I18" s="16">
        <f>(E18/E19)*100%</f>
        <v>0.98901098901098905</v>
      </c>
    </row>
    <row r="19" spans="3:9">
      <c r="C19" s="13"/>
      <c r="D19" s="13"/>
      <c r="E19" s="17">
        <f>D4</f>
        <v>455</v>
      </c>
      <c r="F19" s="17"/>
      <c r="G19" s="17"/>
      <c r="H19" s="15"/>
      <c r="I19" s="16"/>
    </row>
    <row r="26" spans="3:9">
      <c r="C26" s="13" t="s">
        <v>18</v>
      </c>
      <c r="D26" s="13"/>
      <c r="E26" s="18" t="str">
        <f>"("&amp;D10&amp;"*"&amp;N10&amp;")"</f>
        <v>(119*206)</v>
      </c>
      <c r="F26" s="18"/>
      <c r="G26" s="18"/>
      <c r="H26" s="15" t="s">
        <v>17</v>
      </c>
      <c r="I26" s="16">
        <f>((D10/60*N10)/E27)*100%</f>
        <v>0.90792592592592591</v>
      </c>
    </row>
    <row r="27" spans="3:9">
      <c r="C27" s="13"/>
      <c r="D27" s="13"/>
      <c r="E27" s="19">
        <f>E18</f>
        <v>450</v>
      </c>
      <c r="F27" s="19"/>
      <c r="G27" s="19"/>
      <c r="H27" s="15"/>
      <c r="I27" s="16"/>
    </row>
    <row r="34" spans="3:12">
      <c r="C34" s="13" t="s">
        <v>19</v>
      </c>
      <c r="D34" s="13"/>
      <c r="E34" s="18" t="str">
        <f>"("&amp;N10&amp;"-"&amp;N11&amp;")"</f>
        <v>(206-31)</v>
      </c>
      <c r="F34" s="18"/>
      <c r="G34" s="18"/>
      <c r="H34" s="15" t="s">
        <v>17</v>
      </c>
      <c r="I34" s="16">
        <f>(N10-N11)/E35*100%</f>
        <v>0.84951456310679607</v>
      </c>
    </row>
    <row r="35" spans="3:12">
      <c r="C35" s="13"/>
      <c r="D35" s="13"/>
      <c r="E35" s="19">
        <f>N10</f>
        <v>206</v>
      </c>
      <c r="F35" s="19"/>
      <c r="G35" s="19"/>
      <c r="H35" s="15"/>
      <c r="I35" s="16"/>
    </row>
    <row r="42" spans="3:12">
      <c r="C42" s="13" t="s">
        <v>20</v>
      </c>
      <c r="D42" s="13"/>
      <c r="E42" s="18">
        <f>J11</f>
        <v>206</v>
      </c>
      <c r="F42" s="18"/>
      <c r="G42" s="18"/>
      <c r="H42" s="15" t="s">
        <v>17</v>
      </c>
      <c r="I42" s="16">
        <f>J11/(E18*60/D10)*100%</f>
        <v>0.90792592592592591</v>
      </c>
    </row>
    <row r="43" spans="3:12">
      <c r="C43" s="13"/>
      <c r="D43" s="13"/>
      <c r="E43" s="19" t="str">
        <f>"("&amp;E18&amp;"*60"&amp;"/"&amp;D10&amp;")"</f>
        <v>(450*60/119)</v>
      </c>
      <c r="F43" s="19"/>
      <c r="G43" s="19"/>
      <c r="H43" s="15"/>
      <c r="I43" s="16"/>
    </row>
    <row r="45" spans="3:12">
      <c r="C45" s="13" t="s">
        <v>21</v>
      </c>
      <c r="D45" s="13"/>
      <c r="E45" s="20">
        <f>I18</f>
        <v>0.98901098901098905</v>
      </c>
      <c r="F45" s="20" t="s">
        <v>22</v>
      </c>
      <c r="G45" s="20">
        <f>I26</f>
        <v>0.90792592592592591</v>
      </c>
      <c r="H45" s="20" t="s">
        <v>22</v>
      </c>
      <c r="I45" s="20">
        <f>I34</f>
        <v>0.84951456310679607</v>
      </c>
      <c r="J45" s="20" t="s">
        <v>22</v>
      </c>
      <c r="K45" s="20">
        <f>I42</f>
        <v>0.90792592592592591</v>
      </c>
      <c r="L45" s="20"/>
    </row>
    <row r="46" spans="3:12">
      <c r="C46" s="13"/>
      <c r="D46" s="13"/>
      <c r="E46" s="21"/>
      <c r="F46" s="20"/>
      <c r="G46" s="21"/>
      <c r="H46" s="20"/>
      <c r="I46" s="21"/>
      <c r="J46" s="20"/>
      <c r="K46" s="21"/>
      <c r="L46" s="20"/>
    </row>
    <row r="47" spans="3:12" ht="15.75">
      <c r="D47" s="10" t="s">
        <v>17</v>
      </c>
      <c r="E47" s="11">
        <f>(E45+G45+I45+K45)/4</f>
        <v>0.91359435099240915</v>
      </c>
    </row>
    <row r="52" spans="2:14">
      <c r="B52" t="s">
        <v>23</v>
      </c>
      <c r="C52" t="s">
        <v>24</v>
      </c>
    </row>
    <row r="53" spans="2:14">
      <c r="C53" t="s">
        <v>9</v>
      </c>
      <c r="D53" s="8">
        <v>94</v>
      </c>
      <c r="E53" t="s">
        <v>10</v>
      </c>
      <c r="I53" s="9" t="s">
        <v>11</v>
      </c>
      <c r="J53">
        <v>200</v>
      </c>
      <c r="K53" t="s">
        <v>10</v>
      </c>
      <c r="L53" s="12" t="s">
        <v>12</v>
      </c>
      <c r="M53" s="12"/>
      <c r="N53">
        <f>ROUND($D$4*60/D53*90%,0)</f>
        <v>261</v>
      </c>
    </row>
    <row r="54" spans="2:14">
      <c r="D54" s="8"/>
      <c r="I54" t="s">
        <v>13</v>
      </c>
      <c r="J54">
        <f>ROUND(N53*120%,0)</f>
        <v>313</v>
      </c>
      <c r="K54" t="s">
        <v>14</v>
      </c>
      <c r="L54" s="12" t="s">
        <v>15</v>
      </c>
      <c r="M54" s="12"/>
      <c r="N54">
        <f>ROUND(N53*15%,0)</f>
        <v>39</v>
      </c>
    </row>
    <row r="55" spans="2:14">
      <c r="D55" s="8"/>
    </row>
    <row r="61" spans="2:14">
      <c r="C61" s="22" t="s">
        <v>16</v>
      </c>
      <c r="D61" s="22"/>
      <c r="E61" s="14">
        <f>ROUND(455-(J53/60),0)</f>
        <v>452</v>
      </c>
      <c r="F61" s="14"/>
      <c r="G61" s="14"/>
      <c r="H61" s="15" t="s">
        <v>17</v>
      </c>
      <c r="I61" s="16">
        <f>(E61/E62)*100%</f>
        <v>0.99340659340659343</v>
      </c>
    </row>
    <row r="62" spans="2:14">
      <c r="C62" s="22"/>
      <c r="D62" s="22"/>
      <c r="E62" s="17">
        <f>$D$4</f>
        <v>455</v>
      </c>
      <c r="F62" s="17"/>
      <c r="G62" s="17"/>
      <c r="H62" s="15"/>
      <c r="I62" s="16"/>
    </row>
    <row r="69" spans="3:9">
      <c r="C69" s="22" t="s">
        <v>18</v>
      </c>
      <c r="D69" s="22"/>
      <c r="E69" s="18" t="str">
        <f>"("&amp;D53&amp;"*"&amp;N53&amp;")"</f>
        <v>(94*261)</v>
      </c>
      <c r="F69" s="18"/>
      <c r="G69" s="18"/>
      <c r="H69" s="15" t="s">
        <v>17</v>
      </c>
      <c r="I69" s="16">
        <f>((D53/60*N53)/E70)*100%</f>
        <v>0.90464601769911501</v>
      </c>
    </row>
    <row r="70" spans="3:9">
      <c r="C70" s="22"/>
      <c r="D70" s="22"/>
      <c r="E70" s="19">
        <f>E61</f>
        <v>452</v>
      </c>
      <c r="F70" s="19"/>
      <c r="G70" s="19"/>
      <c r="H70" s="15"/>
      <c r="I70" s="16"/>
    </row>
    <row r="77" spans="3:9">
      <c r="C77" s="22" t="s">
        <v>19</v>
      </c>
      <c r="D77" s="22"/>
      <c r="E77" s="18" t="str">
        <f>"("&amp;N53&amp;"-"&amp;N54&amp;")"</f>
        <v>(261-39)</v>
      </c>
      <c r="F77" s="18"/>
      <c r="G77" s="18"/>
      <c r="H77" s="15" t="s">
        <v>17</v>
      </c>
      <c r="I77" s="16">
        <f>(N53-N54)/E78*100%</f>
        <v>0.85057471264367812</v>
      </c>
    </row>
    <row r="78" spans="3:9">
      <c r="C78" s="22"/>
      <c r="D78" s="22"/>
      <c r="E78" s="19">
        <f>N53</f>
        <v>261</v>
      </c>
      <c r="F78" s="19"/>
      <c r="G78" s="19"/>
      <c r="H78" s="15"/>
      <c r="I78" s="16"/>
    </row>
    <row r="85" spans="2:14">
      <c r="C85" s="22" t="s">
        <v>20</v>
      </c>
      <c r="D85" s="22"/>
      <c r="E85" s="18">
        <f>J54</f>
        <v>313</v>
      </c>
      <c r="F85" s="18"/>
      <c r="G85" s="18"/>
      <c r="H85" s="15" t="s">
        <v>17</v>
      </c>
      <c r="I85" s="16">
        <f>J54/(E61*60/D53)*100%</f>
        <v>1.0848820058997051</v>
      </c>
    </row>
    <row r="86" spans="2:14">
      <c r="C86" s="22"/>
      <c r="D86" s="22"/>
      <c r="E86" s="19" t="str">
        <f>"("&amp;E61&amp;"*60"&amp;"/"&amp;D53&amp;")"</f>
        <v>(452*60/94)</v>
      </c>
      <c r="F86" s="19"/>
      <c r="G86" s="19"/>
      <c r="H86" s="15"/>
      <c r="I86" s="16"/>
    </row>
    <row r="88" spans="2:14">
      <c r="C88" s="13" t="s">
        <v>21</v>
      </c>
      <c r="D88" s="13"/>
      <c r="E88" s="20">
        <f>I61</f>
        <v>0.99340659340659343</v>
      </c>
      <c r="F88" s="20" t="s">
        <v>22</v>
      </c>
      <c r="G88" s="20">
        <f>I69</f>
        <v>0.90464601769911501</v>
      </c>
      <c r="H88" s="20" t="s">
        <v>22</v>
      </c>
      <c r="I88" s="20">
        <f>I77</f>
        <v>0.85057471264367812</v>
      </c>
      <c r="J88" s="20" t="s">
        <v>22</v>
      </c>
      <c r="K88" s="20">
        <f>I85</f>
        <v>1.0848820058997051</v>
      </c>
      <c r="L88" s="20"/>
    </row>
    <row r="89" spans="2:14">
      <c r="C89" s="13"/>
      <c r="D89" s="13"/>
      <c r="E89" s="21"/>
      <c r="F89" s="20"/>
      <c r="G89" s="21"/>
      <c r="H89" s="20"/>
      <c r="I89" s="21"/>
      <c r="J89" s="20"/>
      <c r="K89" s="21"/>
      <c r="L89" s="20"/>
    </row>
    <row r="90" spans="2:14" ht="15.75">
      <c r="D90" s="10" t="s">
        <v>17</v>
      </c>
      <c r="E90" s="11">
        <f>(E88+G88+I88+K88)/4</f>
        <v>0.95837733241227296</v>
      </c>
    </row>
    <row r="95" spans="2:14">
      <c r="B95">
        <v>3</v>
      </c>
      <c r="C95" t="s">
        <v>25</v>
      </c>
    </row>
    <row r="96" spans="2:14">
      <c r="C96" t="s">
        <v>9</v>
      </c>
      <c r="D96" s="8">
        <v>65</v>
      </c>
      <c r="E96" t="s">
        <v>10</v>
      </c>
      <c r="I96" s="9" t="s">
        <v>11</v>
      </c>
      <c r="J96">
        <v>200</v>
      </c>
      <c r="K96" t="s">
        <v>10</v>
      </c>
      <c r="L96" s="12" t="s">
        <v>12</v>
      </c>
      <c r="M96" s="12"/>
      <c r="N96">
        <f>ROUND($D$4*60/D96*90%,0)</f>
        <v>378</v>
      </c>
    </row>
    <row r="97" spans="3:14">
      <c r="D97" s="8"/>
      <c r="I97" t="s">
        <v>13</v>
      </c>
      <c r="J97">
        <f>ROUND(N96*80%,0)</f>
        <v>302</v>
      </c>
      <c r="K97" t="s">
        <v>14</v>
      </c>
      <c r="L97" s="12" t="s">
        <v>15</v>
      </c>
      <c r="M97" s="12"/>
      <c r="N97">
        <f>ROUND(N96*15%,0)</f>
        <v>57</v>
      </c>
    </row>
    <row r="98" spans="3:14">
      <c r="D98" s="8"/>
    </row>
    <row r="104" spans="3:14">
      <c r="C104" s="22" t="s">
        <v>16</v>
      </c>
      <c r="D104" s="22"/>
      <c r="E104" s="14">
        <f>ROUND(455-(J96/60),0)</f>
        <v>452</v>
      </c>
      <c r="F104" s="14"/>
      <c r="G104" s="14"/>
      <c r="H104" s="15" t="s">
        <v>17</v>
      </c>
      <c r="I104" s="16">
        <f>(E104/E105)*100%</f>
        <v>0.99340659340659343</v>
      </c>
    </row>
    <row r="105" spans="3:14">
      <c r="C105" s="22"/>
      <c r="D105" s="22"/>
      <c r="E105" s="17">
        <f>$D$4</f>
        <v>455</v>
      </c>
      <c r="F105" s="17"/>
      <c r="G105" s="17"/>
      <c r="H105" s="15"/>
      <c r="I105" s="16"/>
    </row>
    <row r="112" spans="3:14">
      <c r="C112" s="22" t="s">
        <v>18</v>
      </c>
      <c r="D112" s="22"/>
      <c r="E112" s="18" t="str">
        <f>"("&amp;D96&amp;"*"&amp;N96&amp;")"</f>
        <v>(65*378)</v>
      </c>
      <c r="F112" s="18"/>
      <c r="G112" s="18"/>
      <c r="H112" s="15" t="s">
        <v>17</v>
      </c>
      <c r="I112" s="16">
        <f>((D96/60*N96)/E113)*100%</f>
        <v>0.90597345132743368</v>
      </c>
    </row>
    <row r="113" spans="3:21">
      <c r="C113" s="22"/>
      <c r="D113" s="22"/>
      <c r="E113" s="19">
        <f>E104</f>
        <v>452</v>
      </c>
      <c r="F113" s="19"/>
      <c r="G113" s="19"/>
      <c r="H113" s="15"/>
      <c r="I113" s="16"/>
    </row>
    <row r="120" spans="3:21">
      <c r="C120" s="22" t="s">
        <v>19</v>
      </c>
      <c r="D120" s="22"/>
      <c r="E120" s="18" t="str">
        <f>"("&amp;N96&amp;"-"&amp;N97&amp;")"</f>
        <v>(378-57)</v>
      </c>
      <c r="F120" s="18"/>
      <c r="G120" s="18"/>
      <c r="H120" s="15" t="s">
        <v>17</v>
      </c>
      <c r="I120" s="16">
        <f>(N96-N97)/E121*100%</f>
        <v>0.84920634920634919</v>
      </c>
    </row>
    <row r="121" spans="3:21">
      <c r="C121" s="22"/>
      <c r="D121" s="22"/>
      <c r="E121" s="19">
        <f>N96</f>
        <v>378</v>
      </c>
      <c r="F121" s="19"/>
      <c r="G121" s="19"/>
      <c r="H121" s="15"/>
      <c r="I121" s="16"/>
    </row>
    <row r="127" spans="3:21">
      <c r="S127">
        <v>452</v>
      </c>
      <c r="T127">
        <v>60</v>
      </c>
      <c r="U127">
        <f>SUM(S127*T127)</f>
        <v>27120</v>
      </c>
    </row>
    <row r="128" spans="3:21">
      <c r="C128" s="22" t="s">
        <v>20</v>
      </c>
      <c r="D128" s="22"/>
      <c r="E128" s="18">
        <f>J97</f>
        <v>302</v>
      </c>
      <c r="F128" s="18"/>
      <c r="G128" s="18"/>
      <c r="H128" s="15" t="s">
        <v>17</v>
      </c>
      <c r="I128" s="16">
        <f>J97/(E104*60/D96)*100%</f>
        <v>0.72382005899705015</v>
      </c>
      <c r="U128">
        <v>65</v>
      </c>
    </row>
    <row r="129" spans="3:21">
      <c r="C129" s="22"/>
      <c r="D129" s="22"/>
      <c r="E129" s="19" t="str">
        <f>"("&amp;E104&amp;"*60"&amp;"/"&amp;D96&amp;")"</f>
        <v>(452*60/65)</v>
      </c>
      <c r="F129" s="19"/>
      <c r="G129" s="19"/>
      <c r="H129" s="15"/>
      <c r="I129" s="16"/>
      <c r="U129">
        <f>SUM(U127/U128)</f>
        <v>417.23076923076923</v>
      </c>
    </row>
    <row r="130" spans="3:21">
      <c r="R130">
        <v>452</v>
      </c>
    </row>
    <row r="131" spans="3:21">
      <c r="C131" s="13" t="s">
        <v>21</v>
      </c>
      <c r="D131" s="13"/>
      <c r="E131" s="20">
        <f>I104</f>
        <v>0.99340659340659343</v>
      </c>
      <c r="F131" s="20" t="s">
        <v>22</v>
      </c>
      <c r="G131" s="20">
        <f>I112</f>
        <v>0.90597345132743368</v>
      </c>
      <c r="H131" s="20" t="s">
        <v>22</v>
      </c>
      <c r="I131" s="20">
        <f>I120</f>
        <v>0.84920634920634919</v>
      </c>
      <c r="J131" s="20" t="s">
        <v>22</v>
      </c>
      <c r="K131" s="20">
        <f>I128</f>
        <v>0.72382005899705015</v>
      </c>
      <c r="L131" s="20"/>
      <c r="R131">
        <v>65</v>
      </c>
    </row>
    <row r="132" spans="3:21">
      <c r="C132" s="13"/>
      <c r="D132" s="13"/>
      <c r="E132" s="21"/>
      <c r="F132" s="20"/>
      <c r="G132" s="21"/>
      <c r="H132" s="20"/>
      <c r="I132" s="21"/>
      <c r="J132" s="20"/>
      <c r="K132" s="21"/>
      <c r="L132" s="20"/>
      <c r="R132">
        <f>SUM(R130/R131)</f>
        <v>6.953846153846154</v>
      </c>
    </row>
    <row r="133" spans="3:21" ht="15.75">
      <c r="D133" s="10" t="s">
        <v>17</v>
      </c>
      <c r="E133" s="11">
        <f>(E131+G131+I131+K131)/4</f>
        <v>0.86810161323435664</v>
      </c>
      <c r="F133" s="23"/>
      <c r="G133" s="23"/>
      <c r="H133" s="23"/>
    </row>
  </sheetData>
  <mergeCells count="94">
    <mergeCell ref="I131:I132"/>
    <mergeCell ref="J131:J132"/>
    <mergeCell ref="K131:K132"/>
    <mergeCell ref="L131:L132"/>
    <mergeCell ref="F133:H133"/>
    <mergeCell ref="C128:D129"/>
    <mergeCell ref="E128:G128"/>
    <mergeCell ref="H128:H129"/>
    <mergeCell ref="I128:I129"/>
    <mergeCell ref="E129:G129"/>
    <mergeCell ref="C131:D132"/>
    <mergeCell ref="E131:E132"/>
    <mergeCell ref="F131:F132"/>
    <mergeCell ref="G131:G132"/>
    <mergeCell ref="H131:H132"/>
    <mergeCell ref="C112:D113"/>
    <mergeCell ref="E112:G112"/>
    <mergeCell ref="H112:H113"/>
    <mergeCell ref="I112:I113"/>
    <mergeCell ref="E113:G113"/>
    <mergeCell ref="C120:D121"/>
    <mergeCell ref="E120:G120"/>
    <mergeCell ref="H120:H121"/>
    <mergeCell ref="I120:I121"/>
    <mergeCell ref="E121:G121"/>
    <mergeCell ref="J88:J89"/>
    <mergeCell ref="K88:K89"/>
    <mergeCell ref="L88:L89"/>
    <mergeCell ref="L96:M96"/>
    <mergeCell ref="L97:M97"/>
    <mergeCell ref="C104:D105"/>
    <mergeCell ref="E104:G104"/>
    <mergeCell ref="H104:H105"/>
    <mergeCell ref="I104:I105"/>
    <mergeCell ref="E105:G105"/>
    <mergeCell ref="I88:I89"/>
    <mergeCell ref="C77:D78"/>
    <mergeCell ref="E77:G77"/>
    <mergeCell ref="H77:H78"/>
    <mergeCell ref="I77:I78"/>
    <mergeCell ref="E78:G78"/>
    <mergeCell ref="C85:D86"/>
    <mergeCell ref="E85:G85"/>
    <mergeCell ref="H85:H86"/>
    <mergeCell ref="I85:I86"/>
    <mergeCell ref="E86:G86"/>
    <mergeCell ref="C88:D89"/>
    <mergeCell ref="E88:E89"/>
    <mergeCell ref="F88:F89"/>
    <mergeCell ref="G88:G89"/>
    <mergeCell ref="H88:H89"/>
    <mergeCell ref="C61:D62"/>
    <mergeCell ref="E61:G61"/>
    <mergeCell ref="H61:H62"/>
    <mergeCell ref="I61:I62"/>
    <mergeCell ref="E62:G62"/>
    <mergeCell ref="C69:D70"/>
    <mergeCell ref="E69:G69"/>
    <mergeCell ref="H69:H70"/>
    <mergeCell ref="I69:I70"/>
    <mergeCell ref="E70:G70"/>
    <mergeCell ref="L54:M54"/>
    <mergeCell ref="C42:D43"/>
    <mergeCell ref="E42:G42"/>
    <mergeCell ref="H42:H43"/>
    <mergeCell ref="I42:I43"/>
    <mergeCell ref="E43:G43"/>
    <mergeCell ref="C45:D46"/>
    <mergeCell ref="E45:E46"/>
    <mergeCell ref="F45:F46"/>
    <mergeCell ref="G45:G46"/>
    <mergeCell ref="H45:H46"/>
    <mergeCell ref="I45:I46"/>
    <mergeCell ref="J45:J46"/>
    <mergeCell ref="K45:K46"/>
    <mergeCell ref="L45:L46"/>
    <mergeCell ref="L53:M53"/>
    <mergeCell ref="C26:D27"/>
    <mergeCell ref="E26:G26"/>
    <mergeCell ref="H26:H27"/>
    <mergeCell ref="I26:I27"/>
    <mergeCell ref="E27:G27"/>
    <mergeCell ref="C34:D35"/>
    <mergeCell ref="E34:G34"/>
    <mergeCell ref="H34:H35"/>
    <mergeCell ref="I34:I35"/>
    <mergeCell ref="E35:G35"/>
    <mergeCell ref="L10:M10"/>
    <mergeCell ref="L11:M11"/>
    <mergeCell ref="C18:D19"/>
    <mergeCell ref="E18:G18"/>
    <mergeCell ref="H18:H19"/>
    <mergeCell ref="I18:I19"/>
    <mergeCell ref="E19:G19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49591-EE08-4069-A888-ED6ED430C9BC}">
  <dimension ref="A1:B10"/>
  <sheetViews>
    <sheetView zoomScale="145" zoomScaleNormal="145" workbookViewId="0">
      <selection activeCell="J6" sqref="J6"/>
    </sheetView>
  </sheetViews>
  <sheetFormatPr defaultRowHeight="15"/>
  <cols>
    <col min="1" max="1" width="30.85546875" style="3" bestFit="1" customWidth="1"/>
    <col min="2" max="16384" width="9.140625" style="3"/>
  </cols>
  <sheetData>
    <row r="1" spans="1:2" ht="17.25">
      <c r="A1" s="5" t="s">
        <v>26</v>
      </c>
      <c r="B1" s="3" t="s">
        <v>27</v>
      </c>
    </row>
    <row r="2" spans="1:2" ht="17.25">
      <c r="A2" s="5" t="s">
        <v>28</v>
      </c>
      <c r="B2" s="3" t="s">
        <v>29</v>
      </c>
    </row>
    <row r="3" spans="1:2" ht="17.25">
      <c r="A3" s="5" t="s">
        <v>30</v>
      </c>
      <c r="B3" s="3" t="s">
        <v>31</v>
      </c>
    </row>
    <row r="4" spans="1:2" ht="17.25">
      <c r="A4" s="5" t="s">
        <v>32</v>
      </c>
      <c r="B4" s="3" t="s">
        <v>33</v>
      </c>
    </row>
    <row r="5" spans="1:2" ht="17.25">
      <c r="A5" s="5" t="s">
        <v>34</v>
      </c>
      <c r="B5" s="3" t="s">
        <v>35</v>
      </c>
    </row>
    <row r="6" spans="1:2" ht="17.25">
      <c r="A6" s="5" t="s">
        <v>36</v>
      </c>
      <c r="B6" s="3" t="s">
        <v>37</v>
      </c>
    </row>
    <row r="7" spans="1:2" ht="17.25">
      <c r="A7" s="5" t="s">
        <v>38</v>
      </c>
      <c r="B7" s="3" t="s">
        <v>39</v>
      </c>
    </row>
    <row r="8" spans="1:2" ht="17.25">
      <c r="A8" s="6" t="s">
        <v>40</v>
      </c>
      <c r="B8" s="3" t="s">
        <v>41</v>
      </c>
    </row>
    <row r="9" spans="1:2" ht="17.25">
      <c r="A9" s="6" t="s">
        <v>42</v>
      </c>
      <c r="B9" s="3" t="s">
        <v>43</v>
      </c>
    </row>
    <row r="10" spans="1:2" ht="15.75">
      <c r="A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Team IT Infrastructure and Cloud</dc:creator>
  <cp:keywords/>
  <dc:description/>
  <cp:lastModifiedBy>IT OUTSOURCE</cp:lastModifiedBy>
  <cp:revision/>
  <dcterms:created xsi:type="dcterms:W3CDTF">2023-10-04T07:47:36Z</dcterms:created>
  <dcterms:modified xsi:type="dcterms:W3CDTF">2023-12-19T04:22:58Z</dcterms:modified>
  <cp:category/>
  <cp:contentStatus/>
</cp:coreProperties>
</file>